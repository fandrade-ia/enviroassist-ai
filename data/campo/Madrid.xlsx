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IA\Founderz\TFM\Claude\EnviroAssistAI\data\campo\"/>
    </mc:Choice>
  </mc:AlternateContent>
  <xr:revisionPtr revIDLastSave="0" documentId="13_ncr:1_{DBBEC658-4532-4924-85BF-C0DF76CF87A7}" xr6:coauthVersionLast="47" xr6:coauthVersionMax="47" xr10:uidLastSave="{00000000-0000-0000-0000-000000000000}"/>
  <bookViews>
    <workbookView xWindow="28680" yWindow="-120" windowWidth="29040" windowHeight="15840" xr2:uid="{7823BC23-9988-42F0-BA61-AD6D316B806F}"/>
  </bookViews>
  <sheets>
    <sheet name="30TVK15" sheetId="1" r:id="rId1"/>
    <sheet name="🦅 Inventario Fauna" sheetId="2" r:id="rId2"/>
    <sheet name="🌿 Inventario Flora" sheetId="3" r:id="rId3"/>
    <sheet name="FAUNA" sheetId="4" r:id="rId4"/>
    <sheet name="FLORA" sheetId="5" r:id="rId5"/>
    <sheet name="Normativa Especies" sheetId="6" r:id="rId6"/>
  </sheets>
  <definedNames>
    <definedName name="_xlnm._FilterDatabase" localSheetId="0" hidden="1">'30TVK15'!$A$1:$P$135</definedName>
    <definedName name="_xlnm._FilterDatabase" localSheetId="3" hidden="1">FAUNA!$A$1:$E$134</definedName>
    <definedName name="_xlnm._FilterDatabase" localSheetId="5" hidden="1">'Normativa Especies'!$A$1:$K$995</definedName>
    <definedName name="_xlnm._FilterDatabase" localSheetId="1" hidden="1">'🦅 Inventario Fauna'!$A$3:$I$161</definedName>
    <definedName name="_ftn1">'Normativa Especies'!$C$997</definedName>
    <definedName name="_ftn10">'Normativa Especies'!$C$1020</definedName>
    <definedName name="_ftn11">'Normativa Especies'!$C$1027</definedName>
    <definedName name="_ftn12">'Normativa Especies'!$C$1024</definedName>
    <definedName name="_ftn7">'Normativa Especies'!$C$1006</definedName>
    <definedName name="_ftn9">'Normativa Especies'!$C$1017</definedName>
    <definedName name="_ftnref10">'Normativa Especies'!$C$794</definedName>
    <definedName name="_ftnref11">'Normativa Especies'!$C$919</definedName>
    <definedName name="_ftnref12">'Normativa Especies'!$C$885</definedName>
    <definedName name="_ftnref7">'Normativa Especies'!$C$598</definedName>
    <definedName name="_ftnref8">'Normativa Especies'!$C$417</definedName>
    <definedName name="_ftnref9">'Normativa Especies'!$C$695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4" i="2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4" i="3"/>
  <c r="M995" i="6" l="1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</calcChain>
</file>

<file path=xl/sharedStrings.xml><?xml version="1.0" encoding="utf-8"?>
<sst xmlns="http://schemas.openxmlformats.org/spreadsheetml/2006/main" count="10939" uniqueCount="3836">
  <si>
    <t>Grupo</t>
  </si>
  <si>
    <t>Nombre</t>
  </si>
  <si>
    <t>Genero</t>
  </si>
  <si>
    <t>Especie</t>
  </si>
  <si>
    <t>Infra</t>
  </si>
  <si>
    <t>CUTM10x10</t>
  </si>
  <si>
    <t>EstadoCUTM</t>
  </si>
  <si>
    <t>FechaCUTM</t>
  </si>
  <si>
    <t>OrigenCUTM</t>
  </si>
  <si>
    <t>DescripcionOrigenCUTM</t>
  </si>
  <si>
    <t>Autor</t>
  </si>
  <si>
    <t>Reino</t>
  </si>
  <si>
    <t>Division</t>
  </si>
  <si>
    <t>Clase</t>
  </si>
  <si>
    <t>Orden</t>
  </si>
  <si>
    <t>Familia</t>
  </si>
  <si>
    <t>Mamíferos</t>
  </si>
  <si>
    <t>Rattus norvegicus</t>
  </si>
  <si>
    <t>Rattus</t>
  </si>
  <si>
    <t>norvegicus</t>
  </si>
  <si>
    <t/>
  </si>
  <si>
    <t>30TVK15</t>
  </si>
  <si>
    <t>Confirmada</t>
  </si>
  <si>
    <t>Atlas y/o Libro Rojo</t>
  </si>
  <si>
    <t>Atlas y Libro Rojo de los Mamíferos Terrestres de España</t>
  </si>
  <si>
    <t>(Berkenhout, 1769)</t>
  </si>
  <si>
    <t>Animalia</t>
  </si>
  <si>
    <t>Chordata</t>
  </si>
  <si>
    <t>Mammalia</t>
  </si>
  <si>
    <t>Roedores</t>
  </si>
  <si>
    <t>Muridae</t>
  </si>
  <si>
    <t>Aves</t>
  </si>
  <si>
    <t>Remiz pendulinus</t>
  </si>
  <si>
    <t>Remiz</t>
  </si>
  <si>
    <t>pendulinus</t>
  </si>
  <si>
    <t>Libro Rojo de las Aves de España</t>
  </si>
  <si>
    <t>Linnaeus,1758</t>
  </si>
  <si>
    <t>Paseriformes</t>
  </si>
  <si>
    <t>Remizidae</t>
  </si>
  <si>
    <t>Apodemus sylvaticus</t>
  </si>
  <si>
    <t>Apodemus</t>
  </si>
  <si>
    <t>sylvaticus</t>
  </si>
  <si>
    <t>(Linnaeus, 1758)</t>
  </si>
  <si>
    <t>Peces continentales</t>
  </si>
  <si>
    <t>Barbus bocagei</t>
  </si>
  <si>
    <t>Barbus</t>
  </si>
  <si>
    <t>bocagei</t>
  </si>
  <si>
    <t>Atlas y Libro Rojo de los Peces Continentales de España</t>
  </si>
  <si>
    <t>Steindachner, 1864</t>
  </si>
  <si>
    <t>Actinopterygii</t>
  </si>
  <si>
    <t>Cypriniformes</t>
  </si>
  <si>
    <t>Cyprinidae</t>
  </si>
  <si>
    <t>Vulpes vulpes</t>
  </si>
  <si>
    <t>Vulpes</t>
  </si>
  <si>
    <t>vulpes</t>
  </si>
  <si>
    <t>Carnívoros</t>
  </si>
  <si>
    <t>Canidae</t>
  </si>
  <si>
    <t>Cobitis paludica</t>
  </si>
  <si>
    <t>Cobitis</t>
  </si>
  <si>
    <t>paludica</t>
  </si>
  <si>
    <t>No Confirmada</t>
  </si>
  <si>
    <t>Seguimiento</t>
  </si>
  <si>
    <t>Ictiofauna Continental Española, 2011</t>
  </si>
  <si>
    <t>De Buen, 1930</t>
  </si>
  <si>
    <t>Cobitidae</t>
  </si>
  <si>
    <t>Crocidura russula</t>
  </si>
  <si>
    <t>Crocidura</t>
  </si>
  <si>
    <t>russula</t>
  </si>
  <si>
    <t>(Hermann, 1780)</t>
  </si>
  <si>
    <t>Soricomorfos</t>
  </si>
  <si>
    <t>Soricidae</t>
  </si>
  <si>
    <t>Reptiles</t>
  </si>
  <si>
    <t>Psammodromus algirus</t>
  </si>
  <si>
    <t>Psammodromus</t>
  </si>
  <si>
    <t>algirus</t>
  </si>
  <si>
    <t>Otros</t>
  </si>
  <si>
    <t>Base de Datos Herpetológica, 2011</t>
  </si>
  <si>
    <t>Reptilia</t>
  </si>
  <si>
    <t>Squamata</t>
  </si>
  <si>
    <t>Lacertidae</t>
  </si>
  <si>
    <t>Mus musculus</t>
  </si>
  <si>
    <t>Mus</t>
  </si>
  <si>
    <t>musculus</t>
  </si>
  <si>
    <t>-</t>
  </si>
  <si>
    <t>Cecropis daurica</t>
  </si>
  <si>
    <t>Cecropis</t>
  </si>
  <si>
    <t>daurica</t>
  </si>
  <si>
    <t>Linneo,1771</t>
  </si>
  <si>
    <t>Hirundinidae</t>
  </si>
  <si>
    <t>Circus aeruginosus</t>
  </si>
  <si>
    <t>Circus</t>
  </si>
  <si>
    <t>aeruginosus</t>
  </si>
  <si>
    <t>Seguimientos Específicos</t>
  </si>
  <si>
    <t>Falconiformes</t>
  </si>
  <si>
    <t>Accipitridae</t>
  </si>
  <si>
    <t>Anfibios</t>
  </si>
  <si>
    <t>Alytes cisternasii</t>
  </si>
  <si>
    <t>Alytes</t>
  </si>
  <si>
    <t>cisternasii</t>
  </si>
  <si>
    <t>Boscá, 1879</t>
  </si>
  <si>
    <t>Amphibia</t>
  </si>
  <si>
    <t>Anura</t>
  </si>
  <si>
    <t>Discoglossidae</t>
  </si>
  <si>
    <t>Falco tinnunculus</t>
  </si>
  <si>
    <t>Falco</t>
  </si>
  <si>
    <t>tinnunculus</t>
  </si>
  <si>
    <t>Falconidae</t>
  </si>
  <si>
    <t>Eliomys quercinus</t>
  </si>
  <si>
    <t>Eliomys</t>
  </si>
  <si>
    <t>quercinus</t>
  </si>
  <si>
    <t>(Linnaeus, 1766)</t>
  </si>
  <si>
    <t>Gliridae</t>
  </si>
  <si>
    <t>Alectoris rufa</t>
  </si>
  <si>
    <t>Alectoris</t>
  </si>
  <si>
    <t>rufa</t>
  </si>
  <si>
    <t>Galliformes</t>
  </si>
  <si>
    <t>Phasianidae</t>
  </si>
  <si>
    <t>Columba livia/domestica</t>
  </si>
  <si>
    <t>Columba</t>
  </si>
  <si>
    <t>livia/domestica</t>
  </si>
  <si>
    <t>Gmelin,1789</t>
  </si>
  <si>
    <t>Columbiformes</t>
  </si>
  <si>
    <t>Columbidae</t>
  </si>
  <si>
    <t>Arvicola sapidus</t>
  </si>
  <si>
    <t>Arvicola</t>
  </si>
  <si>
    <t>sapidus</t>
  </si>
  <si>
    <t>Miller, 1908</t>
  </si>
  <si>
    <t>Emberiza calandra</t>
  </si>
  <si>
    <t>Emberiza</t>
  </si>
  <si>
    <t>calandra</t>
  </si>
  <si>
    <t>Emberizidae</t>
  </si>
  <si>
    <t>Chondrostoma arcasii</t>
  </si>
  <si>
    <t>Chondrostoma</t>
  </si>
  <si>
    <t>arcasii</t>
  </si>
  <si>
    <t>(Steindachner, 1866)</t>
  </si>
  <si>
    <t>Buteo buteo</t>
  </si>
  <si>
    <t>Buteo</t>
  </si>
  <si>
    <t>buteo</t>
  </si>
  <si>
    <t>Milvus migrans</t>
  </si>
  <si>
    <t>Milvus</t>
  </si>
  <si>
    <t>migrans</t>
  </si>
  <si>
    <t>Boddaert,1783</t>
  </si>
  <si>
    <t>Columba oenas</t>
  </si>
  <si>
    <t>oenas</t>
  </si>
  <si>
    <t>Cisticola juncidis</t>
  </si>
  <si>
    <t>Cisticola</t>
  </si>
  <si>
    <t>juncidis</t>
  </si>
  <si>
    <t>Rafinesque,1810</t>
  </si>
  <si>
    <t>Sylviidae</t>
  </si>
  <si>
    <t>Burhinus oedicnemus</t>
  </si>
  <si>
    <t>Burhinus</t>
  </si>
  <si>
    <t>oedicnemus</t>
  </si>
  <si>
    <t>Charadriformes</t>
  </si>
  <si>
    <t>Burhinidae</t>
  </si>
  <si>
    <t>Microtus duodecimcostatus</t>
  </si>
  <si>
    <t>Microtus</t>
  </si>
  <si>
    <t>duodecimcostatus</t>
  </si>
  <si>
    <t>(de Sélys-Longchamps, 1839)</t>
  </si>
  <si>
    <t>Malpolon monspessulanus</t>
  </si>
  <si>
    <t>Malpolon</t>
  </si>
  <si>
    <t>monspessulanus</t>
  </si>
  <si>
    <t>(Hermann, 1804)</t>
  </si>
  <si>
    <t>Colubridae</t>
  </si>
  <si>
    <t>Squalius pyrenaicus</t>
  </si>
  <si>
    <t>Squalius</t>
  </si>
  <si>
    <t>pyrenaicus</t>
  </si>
  <si>
    <t>(Günther, 1868)</t>
  </si>
  <si>
    <t>Passer montanus</t>
  </si>
  <si>
    <t>Passer</t>
  </si>
  <si>
    <t>montanus</t>
  </si>
  <si>
    <t>Passeridae</t>
  </si>
  <si>
    <t>Otus scops</t>
  </si>
  <si>
    <t>Otus</t>
  </si>
  <si>
    <t>scops</t>
  </si>
  <si>
    <t>NOCTUA 2009</t>
  </si>
  <si>
    <t>Strigiformes</t>
  </si>
  <si>
    <t>Strigidae</t>
  </si>
  <si>
    <t>Pseudochondrostoma polylepis</t>
  </si>
  <si>
    <t>Pseudochondrostoma</t>
  </si>
  <si>
    <t>polylepis</t>
  </si>
  <si>
    <t>(Steindachner, 1865)</t>
  </si>
  <si>
    <t>Circus cyaneus</t>
  </si>
  <si>
    <t>cyaneus</t>
  </si>
  <si>
    <t>Linnaeus,1766</t>
  </si>
  <si>
    <t>Galerida theklae</t>
  </si>
  <si>
    <t>Galerida</t>
  </si>
  <si>
    <t>theklae</t>
  </si>
  <si>
    <t>C.L.Brehm,1858</t>
  </si>
  <si>
    <t>Alaudidae</t>
  </si>
  <si>
    <t>Pelophylax perezi</t>
  </si>
  <si>
    <t>Pelophylax</t>
  </si>
  <si>
    <t>perezi</t>
  </si>
  <si>
    <t>(Seoane, 1885)</t>
  </si>
  <si>
    <t>Ranidae</t>
  </si>
  <si>
    <t>Dendrocopos major</t>
  </si>
  <si>
    <t>Dendrocopos</t>
  </si>
  <si>
    <t>major</t>
  </si>
  <si>
    <t>Piciformes</t>
  </si>
  <si>
    <t>Picidae</t>
  </si>
  <si>
    <t>Certhia brachydactyla</t>
  </si>
  <si>
    <t>Certhia</t>
  </si>
  <si>
    <t>brachydactyla</t>
  </si>
  <si>
    <t>C.L.Brehm,1820</t>
  </si>
  <si>
    <t>Certhiidae</t>
  </si>
  <si>
    <t>Cyprinus carpio</t>
  </si>
  <si>
    <t>Cyprinus</t>
  </si>
  <si>
    <t>carpio</t>
  </si>
  <si>
    <t>Linnaeus, 1758</t>
  </si>
  <si>
    <t>Mustela nivalis</t>
  </si>
  <si>
    <t>Mustela</t>
  </si>
  <si>
    <t>nivalis</t>
  </si>
  <si>
    <t>Linnaeus, 1766</t>
  </si>
  <si>
    <t>Mustelidae</t>
  </si>
  <si>
    <t>Fringilla coelebs</t>
  </si>
  <si>
    <t>Fringilla</t>
  </si>
  <si>
    <t>coelebs</t>
  </si>
  <si>
    <t>Fringillidae</t>
  </si>
  <si>
    <t>Passer hispaniolensis</t>
  </si>
  <si>
    <t>hispaniolensis</t>
  </si>
  <si>
    <t>Temminck,1820</t>
  </si>
  <si>
    <t>Sturnus unicolor</t>
  </si>
  <si>
    <t>Sturnus</t>
  </si>
  <si>
    <t>unicolor</t>
  </si>
  <si>
    <t>Sturnidae</t>
  </si>
  <si>
    <t>Carduelis cannabina</t>
  </si>
  <si>
    <t>Carduelis</t>
  </si>
  <si>
    <t>cannabina</t>
  </si>
  <si>
    <t>Circus pygargus</t>
  </si>
  <si>
    <t>pygargus</t>
  </si>
  <si>
    <t>Hippolais polyglotta</t>
  </si>
  <si>
    <t>Hippolais</t>
  </si>
  <si>
    <t>polyglotta</t>
  </si>
  <si>
    <t>(Vieillot, 1817)</t>
  </si>
  <si>
    <t>Lanius excubitor</t>
  </si>
  <si>
    <t>Lanius</t>
  </si>
  <si>
    <t>excubitor</t>
  </si>
  <si>
    <t>Laniidae</t>
  </si>
  <si>
    <t>Motacilla alba</t>
  </si>
  <si>
    <t>Motacilla</t>
  </si>
  <si>
    <t>alba</t>
  </si>
  <si>
    <t>Motacillidae</t>
  </si>
  <si>
    <t>Erinaceus europaeus</t>
  </si>
  <si>
    <t>Erinaceus</t>
  </si>
  <si>
    <t>europaeus</t>
  </si>
  <si>
    <t>Erinaceomorfos</t>
  </si>
  <si>
    <t>Erinaceidae</t>
  </si>
  <si>
    <t>Pica pica</t>
  </si>
  <si>
    <t>Pica</t>
  </si>
  <si>
    <t>pica</t>
  </si>
  <si>
    <t>Corvidae</t>
  </si>
  <si>
    <t>Lepus granatensis</t>
  </si>
  <si>
    <t>Lepus</t>
  </si>
  <si>
    <t>granatensis</t>
  </si>
  <si>
    <t>Rosenhauer, 1856</t>
  </si>
  <si>
    <t>Lagomorfos</t>
  </si>
  <si>
    <t>Leporidae</t>
  </si>
  <si>
    <t>Timon</t>
  </si>
  <si>
    <t xml:space="preserve">lepidus </t>
  </si>
  <si>
    <t>(Daudin, 1802)</t>
  </si>
  <si>
    <t>Columba palumbus</t>
  </si>
  <si>
    <t>palumbus</t>
  </si>
  <si>
    <t>Sylvia undata</t>
  </si>
  <si>
    <t>Sylvia</t>
  </si>
  <si>
    <t>undata</t>
  </si>
  <si>
    <t>Sylvia cantillans</t>
  </si>
  <si>
    <t>cantillans</t>
  </si>
  <si>
    <t>Pallas,1764</t>
  </si>
  <si>
    <t>Cettia cetti</t>
  </si>
  <si>
    <t>Cettia</t>
  </si>
  <si>
    <t>cetti</t>
  </si>
  <si>
    <t>Genetta genetta</t>
  </si>
  <si>
    <t>Genetta</t>
  </si>
  <si>
    <t>genetta</t>
  </si>
  <si>
    <t>Viverridae</t>
  </si>
  <si>
    <t>Suncus etruscus</t>
  </si>
  <si>
    <t>Suncus</t>
  </si>
  <si>
    <t>etruscus</t>
  </si>
  <si>
    <t>(Savi, 1822)</t>
  </si>
  <si>
    <t>Streptopelia decaocto</t>
  </si>
  <si>
    <t>Streptopelia</t>
  </si>
  <si>
    <t>decaocto</t>
  </si>
  <si>
    <t>Frivaldszky</t>
  </si>
  <si>
    <t>Rattus rattus</t>
  </si>
  <si>
    <t>rattus</t>
  </si>
  <si>
    <t>Squalius alburnoides</t>
  </si>
  <si>
    <t>alburnoides</t>
  </si>
  <si>
    <t>Parus caeruleus</t>
  </si>
  <si>
    <t>Parus</t>
  </si>
  <si>
    <t>caeruleus</t>
  </si>
  <si>
    <t>Paridae</t>
  </si>
  <si>
    <t>Parus major</t>
  </si>
  <si>
    <t>Martes foina</t>
  </si>
  <si>
    <t>Martes</t>
  </si>
  <si>
    <t>foina</t>
  </si>
  <si>
    <t>(Erxleben, 1777)</t>
  </si>
  <si>
    <t>Delichon urbicum</t>
  </si>
  <si>
    <t>Delichon</t>
  </si>
  <si>
    <t>urbicum</t>
  </si>
  <si>
    <t>Streptopelia turtur</t>
  </si>
  <si>
    <t>turtur</t>
  </si>
  <si>
    <t>Carassius auratus</t>
  </si>
  <si>
    <t>Carassius</t>
  </si>
  <si>
    <t>auratus</t>
  </si>
  <si>
    <t>Acrocephalus scirpaceus</t>
  </si>
  <si>
    <t>Acrocephalus</t>
  </si>
  <si>
    <t>scirpaceus</t>
  </si>
  <si>
    <t>Hermann,1804</t>
  </si>
  <si>
    <t>Passer domesticus</t>
  </si>
  <si>
    <t>domesticus</t>
  </si>
  <si>
    <t>Charadrius dubius</t>
  </si>
  <si>
    <t>Charadrius</t>
  </si>
  <si>
    <t>dubius</t>
  </si>
  <si>
    <t>Scopoli,1786</t>
  </si>
  <si>
    <t>Charadriidae</t>
  </si>
  <si>
    <t>Acrocephalus arundinaceus</t>
  </si>
  <si>
    <t>arundinaceus</t>
  </si>
  <si>
    <t>Lepomis gibbosus</t>
  </si>
  <si>
    <t>Lepomis</t>
  </si>
  <si>
    <t>gibbosus</t>
  </si>
  <si>
    <t>Perciformes</t>
  </si>
  <si>
    <t>Centrarchiidae</t>
  </si>
  <si>
    <t>Tyto alba</t>
  </si>
  <si>
    <t>Tyto</t>
  </si>
  <si>
    <t>NOCTUA 2007</t>
  </si>
  <si>
    <t>Scopoli,1769</t>
  </si>
  <si>
    <t>Tytonidae</t>
  </si>
  <si>
    <t>Pelobates cultripes</t>
  </si>
  <si>
    <t>Pelobates</t>
  </si>
  <si>
    <t>cultripes</t>
  </si>
  <si>
    <t>(Cuvier, 1829)</t>
  </si>
  <si>
    <t>Pelobatidae</t>
  </si>
  <si>
    <t>Apus apus</t>
  </si>
  <si>
    <t>Apus</t>
  </si>
  <si>
    <t>apus</t>
  </si>
  <si>
    <t>Apodiformes</t>
  </si>
  <si>
    <t>Apodidae</t>
  </si>
  <si>
    <t>Corvus monedula</t>
  </si>
  <si>
    <t>Corvus</t>
  </si>
  <si>
    <t>monedula</t>
  </si>
  <si>
    <t>Podarcis hispanica</t>
  </si>
  <si>
    <t>Podarcis</t>
  </si>
  <si>
    <t>hispanica</t>
  </si>
  <si>
    <t>(Steindachner, 1870)</t>
  </si>
  <si>
    <t>Mus spretus</t>
  </si>
  <si>
    <t>spretus</t>
  </si>
  <si>
    <t>Himantopus himantopus</t>
  </si>
  <si>
    <t>Himantopus</t>
  </si>
  <si>
    <t>himantopus</t>
  </si>
  <si>
    <t>Recurvirostridae</t>
  </si>
  <si>
    <t>Clamator glandarius</t>
  </si>
  <si>
    <t>Clamator</t>
  </si>
  <si>
    <t>glandarius</t>
  </si>
  <si>
    <t>Cuculiformes</t>
  </si>
  <si>
    <t>Cuculidae</t>
  </si>
  <si>
    <t>Trachemys scripta</t>
  </si>
  <si>
    <t>Trachemys</t>
  </si>
  <si>
    <t>scripta</t>
  </si>
  <si>
    <t>Atlas y Libro Rojo de los Anfibios y Reptiles de España</t>
  </si>
  <si>
    <t>Schoepff, 1792</t>
  </si>
  <si>
    <t>Chelonii</t>
  </si>
  <si>
    <t>Emydidae</t>
  </si>
  <si>
    <t>Carduelis carduelis</t>
  </si>
  <si>
    <t>carduelis</t>
  </si>
  <si>
    <t>Luciobarbus bocagei</t>
  </si>
  <si>
    <t>Luciobarbus</t>
  </si>
  <si>
    <t>Oryctolagus cuniculus</t>
  </si>
  <si>
    <t>Oryctolagus</t>
  </si>
  <si>
    <t>cuniculus</t>
  </si>
  <si>
    <t>Carduelis chloris</t>
  </si>
  <si>
    <t>chloris</t>
  </si>
  <si>
    <t>Oriolus oriolus</t>
  </si>
  <si>
    <t>Oriolus</t>
  </si>
  <si>
    <t>oriolus</t>
  </si>
  <si>
    <t>Oriolidae</t>
  </si>
  <si>
    <t>Rana perezi</t>
  </si>
  <si>
    <t>Rana</t>
  </si>
  <si>
    <t>Seoane, 1885</t>
  </si>
  <si>
    <t>Mauremys leprosa</t>
  </si>
  <si>
    <t>Mauremys</t>
  </si>
  <si>
    <t>leprosa</t>
  </si>
  <si>
    <t>(Schweigger, 1812)</t>
  </si>
  <si>
    <t>Bataguridae</t>
  </si>
  <si>
    <t>Bubo bubo</t>
  </si>
  <si>
    <t>Bubo</t>
  </si>
  <si>
    <t>bubo</t>
  </si>
  <si>
    <t>Strix aluco</t>
  </si>
  <si>
    <t>Strix</t>
  </si>
  <si>
    <t>aluco</t>
  </si>
  <si>
    <t>Sylvia conspicillata</t>
  </si>
  <si>
    <t>conspicillata</t>
  </si>
  <si>
    <t>Ciconia ciconia</t>
  </si>
  <si>
    <t>Ciconia</t>
  </si>
  <si>
    <t>ciconia</t>
  </si>
  <si>
    <t>Ciconiiformes</t>
  </si>
  <si>
    <t>Ciconiidae</t>
  </si>
  <si>
    <t>Pyrrhocorax pyrrhocorax</t>
  </si>
  <si>
    <t>Pyrrhocorax</t>
  </si>
  <si>
    <t>pyrrhocorax</t>
  </si>
  <si>
    <t>Neovison vison</t>
  </si>
  <si>
    <t>Neovison</t>
  </si>
  <si>
    <t>vison</t>
  </si>
  <si>
    <t>(Schreber, 1777)</t>
  </si>
  <si>
    <t>Hirundo rustica</t>
  </si>
  <si>
    <t>Hirundo</t>
  </si>
  <si>
    <t>rustica</t>
  </si>
  <si>
    <t>Turdus merula</t>
  </si>
  <si>
    <t>Turdus</t>
  </si>
  <si>
    <t>merula</t>
  </si>
  <si>
    <t>Turdidae</t>
  </si>
  <si>
    <t>Acanthodactylus erythrurus</t>
  </si>
  <si>
    <t>Acanthodactylus</t>
  </si>
  <si>
    <t>erythrurus</t>
  </si>
  <si>
    <t>(Schinz, 1833)</t>
  </si>
  <si>
    <t>Asio otus</t>
  </si>
  <si>
    <t>Asio</t>
  </si>
  <si>
    <t>otus</t>
  </si>
  <si>
    <t>Upupa epops</t>
  </si>
  <si>
    <t>Upupa</t>
  </si>
  <si>
    <t>epops</t>
  </si>
  <si>
    <t>Coraciformes</t>
  </si>
  <si>
    <t>Upupidae</t>
  </si>
  <si>
    <t>Gallinula chloropus</t>
  </si>
  <si>
    <t>Gallinula</t>
  </si>
  <si>
    <t>chloropus</t>
  </si>
  <si>
    <t>Saxicola torquatus</t>
  </si>
  <si>
    <t>Saxicola</t>
  </si>
  <si>
    <t>torquatus</t>
  </si>
  <si>
    <t>Picus viridis</t>
  </si>
  <si>
    <t>Picus</t>
  </si>
  <si>
    <t>viridis</t>
  </si>
  <si>
    <t>Luscinia megarhynchos</t>
  </si>
  <si>
    <t>Luscinia</t>
  </si>
  <si>
    <t>megarhynchos</t>
  </si>
  <si>
    <t>C.L.Brehm,1831</t>
  </si>
  <si>
    <t>Hieraaetus pennatus</t>
  </si>
  <si>
    <t>Hieraaetus</t>
  </si>
  <si>
    <t>pennatus</t>
  </si>
  <si>
    <t>Gmelin,1788</t>
  </si>
  <si>
    <t>Tetrax tetrax</t>
  </si>
  <si>
    <t>Tetrax</t>
  </si>
  <si>
    <t>tetrax</t>
  </si>
  <si>
    <t>Gruiformes</t>
  </si>
  <si>
    <t>Otididae</t>
  </si>
  <si>
    <t>Aegithalos caudatus</t>
  </si>
  <si>
    <t>Aegithalos</t>
  </si>
  <si>
    <t>caudatus</t>
  </si>
  <si>
    <t>Aegithalidae</t>
  </si>
  <si>
    <t>Coturnix coturnix</t>
  </si>
  <si>
    <t>Coturnix</t>
  </si>
  <si>
    <t>coturnix</t>
  </si>
  <si>
    <t>Riparia riparia</t>
  </si>
  <si>
    <t>Riparia</t>
  </si>
  <si>
    <t>riparia</t>
  </si>
  <si>
    <t>Talpa occidentalis</t>
  </si>
  <si>
    <t>Talpa</t>
  </si>
  <si>
    <t>occidentalis</t>
  </si>
  <si>
    <t>Cabrera, 1907</t>
  </si>
  <si>
    <t>Talpidae</t>
  </si>
  <si>
    <t>Actitis hypoleucos</t>
  </si>
  <si>
    <t>Actitis</t>
  </si>
  <si>
    <t>hypoleucos</t>
  </si>
  <si>
    <t>Scolopacidae</t>
  </si>
  <si>
    <t>Caprimulgus ruficollis</t>
  </si>
  <si>
    <t>Caprimulgus</t>
  </si>
  <si>
    <t>ruficollis</t>
  </si>
  <si>
    <t>Caprimulgidae</t>
  </si>
  <si>
    <t>Columba domestica</t>
  </si>
  <si>
    <t>domestica</t>
  </si>
  <si>
    <t>Anas platyrhynchos</t>
  </si>
  <si>
    <t>Anas</t>
  </si>
  <si>
    <t>platyrhynchos</t>
  </si>
  <si>
    <t>Anseriformes</t>
  </si>
  <si>
    <t>Anatidae</t>
  </si>
  <si>
    <t>Sus scrofa</t>
  </si>
  <si>
    <t>Sus</t>
  </si>
  <si>
    <t>scrofa</t>
  </si>
  <si>
    <t>Arctiodáctilos</t>
  </si>
  <si>
    <t>Suidae</t>
  </si>
  <si>
    <t>Rhinechis scalaris</t>
  </si>
  <si>
    <t>Rhinechis</t>
  </si>
  <si>
    <t>scalaris</t>
  </si>
  <si>
    <t>(Schinz, 1822)</t>
  </si>
  <si>
    <t>Athene noctua</t>
  </si>
  <si>
    <t>Athene</t>
  </si>
  <si>
    <t>noctua</t>
  </si>
  <si>
    <t>Bufo calamita</t>
  </si>
  <si>
    <t>Bufo</t>
  </si>
  <si>
    <t>calamita</t>
  </si>
  <si>
    <t>(Laurenti, 1768)</t>
  </si>
  <si>
    <t>Bufonidae</t>
  </si>
  <si>
    <t>Chondrostoma polylepis</t>
  </si>
  <si>
    <t>Caprimulgus europaeus</t>
  </si>
  <si>
    <t>Troglodytes troglodytes</t>
  </si>
  <si>
    <t>Troglodytes</t>
  </si>
  <si>
    <t>troglodytes</t>
  </si>
  <si>
    <t>Troglodytidae</t>
  </si>
  <si>
    <t>Calandrella brachydactyla</t>
  </si>
  <si>
    <t>Calandrella</t>
  </si>
  <si>
    <t>Leisler,1814</t>
  </si>
  <si>
    <t>Serinus serinus</t>
  </si>
  <si>
    <t>Serinus</t>
  </si>
  <si>
    <t>serinus</t>
  </si>
  <si>
    <t>Gambusia holbrooki</t>
  </si>
  <si>
    <t>Gambusia</t>
  </si>
  <si>
    <t>holbrooki</t>
  </si>
  <si>
    <t>(Girard, 1859)</t>
  </si>
  <si>
    <t>Cyprinidontiformes</t>
  </si>
  <si>
    <t>Poeciliidae</t>
  </si>
  <si>
    <t>Merops apiaster</t>
  </si>
  <si>
    <t>Merops</t>
  </si>
  <si>
    <t>apiaster</t>
  </si>
  <si>
    <t>Meropidae</t>
  </si>
  <si>
    <t>Lanius senator</t>
  </si>
  <si>
    <t>senator</t>
  </si>
  <si>
    <t>Galerida cristata</t>
  </si>
  <si>
    <t>cristata</t>
  </si>
  <si>
    <t>Melanocorypha calandra</t>
  </si>
  <si>
    <t>Melanocorypha</t>
  </si>
  <si>
    <t>Linneo,1766</t>
  </si>
  <si>
    <t>Felis silvestris</t>
  </si>
  <si>
    <t>Felis</t>
  </si>
  <si>
    <t>silvestris</t>
  </si>
  <si>
    <t>Schreber, 1777</t>
  </si>
  <si>
    <t>Felidae</t>
  </si>
  <si>
    <t>Sylvia melanocephala</t>
  </si>
  <si>
    <t>melanocephala</t>
  </si>
  <si>
    <t>Meles meles</t>
  </si>
  <si>
    <t>Meles</t>
  </si>
  <si>
    <t>meles</t>
  </si>
  <si>
    <t>Coracias garrulus</t>
  </si>
  <si>
    <t>Coracias</t>
  </si>
  <si>
    <t>garrulus</t>
  </si>
  <si>
    <t>Coraciidae</t>
  </si>
  <si>
    <t>Oenanthe hispanica</t>
  </si>
  <si>
    <t>Oenanthe</t>
  </si>
  <si>
    <t>CATEGORÍAS:</t>
  </si>
  <si>
    <t>🟠 En peligro de extinción</t>
  </si>
  <si>
    <t>🟡 Vulnerable</t>
  </si>
  <si>
    <t>🟢 Otro</t>
  </si>
  <si>
    <t>Nombre científico</t>
  </si>
  <si>
    <t>Nombre común</t>
  </si>
  <si>
    <t>LESRPE/CEEA</t>
  </si>
  <si>
    <t>Normativa autonómica</t>
  </si>
  <si>
    <t>Cat. España</t>
  </si>
  <si>
    <t>—</t>
  </si>
  <si>
    <t>Discoglossus jeanneae</t>
  </si>
  <si>
    <t>Sapillo pintojo meridional</t>
  </si>
  <si>
    <t>LESRPE</t>
  </si>
  <si>
    <t>Sitta europaea</t>
  </si>
  <si>
    <t>Trepador azul</t>
  </si>
  <si>
    <t>Tarentola mauritanica</t>
  </si>
  <si>
    <t>Salamanquesa común</t>
  </si>
  <si>
    <t>Vipera latastei</t>
  </si>
  <si>
    <t>Víbora hocicuda</t>
  </si>
  <si>
    <t>Lagartija colilarga</t>
  </si>
  <si>
    <t>Golondrina daúrica</t>
  </si>
  <si>
    <t>Loxia curvirostra</t>
  </si>
  <si>
    <t>Piquituerto común</t>
  </si>
  <si>
    <t>Apus melba</t>
  </si>
  <si>
    <t>Vencejo real</t>
  </si>
  <si>
    <t>Myotis myotis</t>
  </si>
  <si>
    <t>Murciélago ratonero grande</t>
  </si>
  <si>
    <t>Vulnerable</t>
  </si>
  <si>
    <t>Accipiter nisus</t>
  </si>
  <si>
    <t>Gavilán común</t>
  </si>
  <si>
    <t>Cernícalo común</t>
  </si>
  <si>
    <t>Invertebrados</t>
  </si>
  <si>
    <t>Sylvia hortensis</t>
  </si>
  <si>
    <t>Curruca mirlona</t>
  </si>
  <si>
    <t>Ptyonoprogne rupestris</t>
  </si>
  <si>
    <t>Avión roquero</t>
  </si>
  <si>
    <t>Lutra lutra</t>
  </si>
  <si>
    <t>Nutria</t>
  </si>
  <si>
    <t>Rhinolophus ferrumequinum</t>
  </si>
  <si>
    <t>Murciélago grande de herradura</t>
  </si>
  <si>
    <t>Emberiza cia</t>
  </si>
  <si>
    <t>Escribano montesino</t>
  </si>
  <si>
    <t>Phoenicurus ochruros</t>
  </si>
  <si>
    <t>Colirrojo tizón</t>
  </si>
  <si>
    <t>Culebra de cogulla occidental</t>
  </si>
  <si>
    <t>Motacilla cinerea</t>
  </si>
  <si>
    <t>Lavandera cascadeña</t>
  </si>
  <si>
    <t>Ratonero común</t>
  </si>
  <si>
    <t>Pipistrellus kuhlii</t>
  </si>
  <si>
    <t>Murciélago de borde claro</t>
  </si>
  <si>
    <t>Buitrón</t>
  </si>
  <si>
    <t>Autillo europeo</t>
  </si>
  <si>
    <t>Blanus cinereus</t>
  </si>
  <si>
    <t>Cogujada montesina</t>
  </si>
  <si>
    <t>Natrix maura</t>
  </si>
  <si>
    <t>Culebra viperina</t>
  </si>
  <si>
    <t>Pico picapinos</t>
  </si>
  <si>
    <t>Agateador común</t>
  </si>
  <si>
    <t>Nyctalus lasiopterus</t>
  </si>
  <si>
    <t>Nóctulo grande</t>
  </si>
  <si>
    <t>Cuculus canorus</t>
  </si>
  <si>
    <t>Cuco</t>
  </si>
  <si>
    <t>Pinzón vulgar</t>
  </si>
  <si>
    <t>Zarcero común</t>
  </si>
  <si>
    <t>Phylloscopus bonelli</t>
  </si>
  <si>
    <t>Mosquitero papialbo</t>
  </si>
  <si>
    <t>Falco peregrinus</t>
  </si>
  <si>
    <t>Halcón peregrino</t>
  </si>
  <si>
    <t>Lavandera blanca</t>
  </si>
  <si>
    <t>Murciélago de Cabrera</t>
  </si>
  <si>
    <t>Anthus campestris</t>
  </si>
  <si>
    <t>Bisbita campestre</t>
  </si>
  <si>
    <t>Hieraaetus fasciatus</t>
  </si>
  <si>
    <t>Águila perdicera</t>
  </si>
  <si>
    <t>Timon lepidus</t>
  </si>
  <si>
    <t>Lagarto ocelado</t>
  </si>
  <si>
    <t>Curruca rabilarga</t>
  </si>
  <si>
    <t>Curruca carrasqueña</t>
  </si>
  <si>
    <t>Ruiseñor bastardo</t>
  </si>
  <si>
    <t>Accipiter gentilis</t>
  </si>
  <si>
    <t>Azor común</t>
  </si>
  <si>
    <t>Emberiza cirlus</t>
  </si>
  <si>
    <t>Escribano soteño</t>
  </si>
  <si>
    <t>Reyezuelo listado</t>
  </si>
  <si>
    <t>Carbonero común</t>
  </si>
  <si>
    <t>Coronella girondica</t>
  </si>
  <si>
    <t>Culebra lisa meridional</t>
  </si>
  <si>
    <t>Avión común</t>
  </si>
  <si>
    <t>Nyctalus leisleri</t>
  </si>
  <si>
    <t>Nóctulo pequeño</t>
  </si>
  <si>
    <t>Rhinolophus hipposideros</t>
  </si>
  <si>
    <t>Murciélago pequeño de herradura</t>
  </si>
  <si>
    <t>Chorlitejo chico</t>
  </si>
  <si>
    <t>Oenanthe leucura</t>
  </si>
  <si>
    <t>Collalba negra</t>
  </si>
  <si>
    <t>Sylvia atricapilla</t>
  </si>
  <si>
    <t>Curruca capirotada</t>
  </si>
  <si>
    <t>Circaetus gallicus</t>
  </si>
  <si>
    <t>Águila culebrera</t>
  </si>
  <si>
    <t>Lechuza común</t>
  </si>
  <si>
    <t>Vencejo común</t>
  </si>
  <si>
    <t>Miniopterus schreibersii</t>
  </si>
  <si>
    <t>Murciélago de cueva</t>
  </si>
  <si>
    <t>Jynx torquilla</t>
  </si>
  <si>
    <t>Torcecuello</t>
  </si>
  <si>
    <t>Monticola solitarius</t>
  </si>
  <si>
    <t>Roquero solitario</t>
  </si>
  <si>
    <t>Oropéndola</t>
  </si>
  <si>
    <t>Galápago leproso</t>
  </si>
  <si>
    <t>Búho real</t>
  </si>
  <si>
    <t>Cárabo común</t>
  </si>
  <si>
    <t>Chova piquirroja</t>
  </si>
  <si>
    <t>Coccothraustes coccothraustes</t>
  </si>
  <si>
    <t>Picogordo</t>
  </si>
  <si>
    <t>Golondrina común</t>
  </si>
  <si>
    <t>Lullula arborea</t>
  </si>
  <si>
    <t>Totovía</t>
  </si>
  <si>
    <t>Monticola saxatilis</t>
  </si>
  <si>
    <t>Roquero rojo</t>
  </si>
  <si>
    <t>Myotis bechsteinii</t>
  </si>
  <si>
    <t>Murciélago ratonero forestal</t>
  </si>
  <si>
    <t>Abubilla</t>
  </si>
  <si>
    <t>Pito real</t>
  </si>
  <si>
    <t>Ruiseñor común</t>
  </si>
  <si>
    <t>Pipistrellus pipistrellus</t>
  </si>
  <si>
    <t>Murciélago común</t>
  </si>
  <si>
    <t>Águila calzada</t>
  </si>
  <si>
    <t>Mito</t>
  </si>
  <si>
    <t>Macrothele calpeiana</t>
  </si>
  <si>
    <t>Phylloscopus ibericus</t>
  </si>
  <si>
    <t>Mosquitero ibérico</t>
  </si>
  <si>
    <t>Hemidactylus turcicus</t>
  </si>
  <si>
    <t>Salamanquesa rosada</t>
  </si>
  <si>
    <t>Chotacabras pardo</t>
  </si>
  <si>
    <t>Erithacus rubecula</t>
  </si>
  <si>
    <t>Petirrojo</t>
  </si>
  <si>
    <t>Mochuelo común</t>
  </si>
  <si>
    <t>Sapo corredor</t>
  </si>
  <si>
    <t>Alcedo atthis</t>
  </si>
  <si>
    <t>Martín pescador</t>
  </si>
  <si>
    <t>Hyla meridionalis</t>
  </si>
  <si>
    <t>Ranita meridional</t>
  </si>
  <si>
    <t>Petronia petronia</t>
  </si>
  <si>
    <t>Gorrión chillón</t>
  </si>
  <si>
    <t>Culebra de herradura</t>
  </si>
  <si>
    <t>Chochín</t>
  </si>
  <si>
    <t>Apus pallidus</t>
  </si>
  <si>
    <t>Vencejo pálido</t>
  </si>
  <si>
    <t>Muscicapa striata</t>
  </si>
  <si>
    <t>Papamoscas gris</t>
  </si>
  <si>
    <t>Abejaruco común</t>
  </si>
  <si>
    <t>Hypsugo savii</t>
  </si>
  <si>
    <t>Murciélago montañero</t>
  </si>
  <si>
    <t>Oenanthe oenanthe</t>
  </si>
  <si>
    <t>Collalba gris</t>
  </si>
  <si>
    <t>Alcaudón común</t>
  </si>
  <si>
    <t>Cogujada común</t>
  </si>
  <si>
    <t>Curruca cabecinegra</t>
  </si>
  <si>
    <t>Collalba rubia</t>
  </si>
  <si>
    <t>TOTALES POR CATEGORÍA</t>
  </si>
  <si>
    <t>Flora</t>
  </si>
  <si>
    <t>Arbutus unedo</t>
  </si>
  <si>
    <t>Bromus hordeaceus</t>
  </si>
  <si>
    <t>Juncus bulbosus</t>
  </si>
  <si>
    <t>Juncus hybridus</t>
  </si>
  <si>
    <t>Mentha pulegium</t>
  </si>
  <si>
    <t>Mentha suaveolens</t>
  </si>
  <si>
    <t>Ornithopus compressus</t>
  </si>
  <si>
    <t>Pyrus bourgaeana</t>
  </si>
  <si>
    <t>Quercus suber</t>
  </si>
  <si>
    <t>Senecio vulgaris</t>
  </si>
  <si>
    <t>Tritón ibérico</t>
  </si>
  <si>
    <t>Pleurodeles waltl</t>
  </si>
  <si>
    <t>Gallipato</t>
  </si>
  <si>
    <t>Tritón pigmeo</t>
  </si>
  <si>
    <t>Sapo partero ibérico</t>
  </si>
  <si>
    <t>Sapo partero bético</t>
  </si>
  <si>
    <t>Discoglossus galganoi</t>
  </si>
  <si>
    <t>Sapillo pintojo ibérico</t>
  </si>
  <si>
    <t>Sapo de espuelas</t>
  </si>
  <si>
    <t>Sapillo moteado ibérico</t>
  </si>
  <si>
    <t>Pelodytes punctatus</t>
  </si>
  <si>
    <t>Sapillo moteado común</t>
  </si>
  <si>
    <t>Hyla arborea</t>
  </si>
  <si>
    <t>Ranita de San Antón</t>
  </si>
  <si>
    <t>Gavia immer</t>
  </si>
  <si>
    <t>Colimbo grande</t>
  </si>
  <si>
    <t>Gavia stellata</t>
  </si>
  <si>
    <t>Colimbo chico</t>
  </si>
  <si>
    <t>Podiceps cristatus</t>
  </si>
  <si>
    <t>Somormujo lavanco</t>
  </si>
  <si>
    <t>Podiceps nigricollis</t>
  </si>
  <si>
    <t>Zampullín cuellinegro</t>
  </si>
  <si>
    <t>Tachybaptus ruficollis</t>
  </si>
  <si>
    <t>Zampullín común</t>
  </si>
  <si>
    <t>Calonectris diomedea diomedea</t>
  </si>
  <si>
    <t>Pardela cenicienta</t>
  </si>
  <si>
    <t>Puffinus griseus</t>
  </si>
  <si>
    <t>Pardela sombría</t>
  </si>
  <si>
    <t>Puffinus mauretanicus</t>
  </si>
  <si>
    <t>Pardela balear</t>
  </si>
  <si>
    <t>Puffinus yelkouan</t>
  </si>
  <si>
    <t>Pardela mediterránea</t>
  </si>
  <si>
    <t>Hydrobates pelagicus</t>
  </si>
  <si>
    <t>Paíño europeo</t>
  </si>
  <si>
    <t>Oceanodroma leucorhoa</t>
  </si>
  <si>
    <t>Paíño boreal</t>
  </si>
  <si>
    <t>Cormorán moñudo</t>
  </si>
  <si>
    <t>Morus bassanus</t>
  </si>
  <si>
    <t>Alcatraz atlántico</t>
  </si>
  <si>
    <t>Ardea cinerea</t>
  </si>
  <si>
    <t>Garza real</t>
  </si>
  <si>
    <t>Ardea purpurea</t>
  </si>
  <si>
    <t>Garza imperial</t>
  </si>
  <si>
    <t>Garcilla cangrejera</t>
  </si>
  <si>
    <t>Bubulcus ibis</t>
  </si>
  <si>
    <t>Garcilla bueyera</t>
  </si>
  <si>
    <t>Avetoro común</t>
  </si>
  <si>
    <t>Egretta alba</t>
  </si>
  <si>
    <t>Garceta grande</t>
  </si>
  <si>
    <t>Egretta garzetta</t>
  </si>
  <si>
    <t>Garceta común</t>
  </si>
  <si>
    <t>Ixobrychus minutus</t>
  </si>
  <si>
    <t>Avetorillo común</t>
  </si>
  <si>
    <t>Nycticorax nycticorax</t>
  </si>
  <si>
    <t>Martinete común</t>
  </si>
  <si>
    <t>Cigüeña blanca</t>
  </si>
  <si>
    <t>Cigüeña negra</t>
  </si>
  <si>
    <t>Platalea leucorodia</t>
  </si>
  <si>
    <t>Espátula común</t>
  </si>
  <si>
    <t>Plegadis falcinellus</t>
  </si>
  <si>
    <t>Morito común</t>
  </si>
  <si>
    <t>Phoenicopterus (ruber) roseus</t>
  </si>
  <si>
    <t>Flamenco común</t>
  </si>
  <si>
    <t>Aythya marila</t>
  </si>
  <si>
    <t>Porrón bastardo</t>
  </si>
  <si>
    <t>Porrón pardo</t>
  </si>
  <si>
    <t>Branta bernicla</t>
  </si>
  <si>
    <t>Barnacla carinegra</t>
  </si>
  <si>
    <t>Branta leucopsis</t>
  </si>
  <si>
    <t>Barnacla cariblanca</t>
  </si>
  <si>
    <t>Marmaronetta angustirostris</t>
  </si>
  <si>
    <t>Cerceta pardilla</t>
  </si>
  <si>
    <t>Oxyura leucocephala</t>
  </si>
  <si>
    <t>Malvasía cabeciblanca</t>
  </si>
  <si>
    <t>Tadorna ferruginea</t>
  </si>
  <si>
    <t>Tarro canelo</t>
  </si>
  <si>
    <t>Tadorna tadorna</t>
  </si>
  <si>
    <t>Tarro blanco</t>
  </si>
  <si>
    <t>Pandion haliaetus</t>
  </si>
  <si>
    <t>Águila pescadora</t>
  </si>
  <si>
    <t>Aegypius monachus</t>
  </si>
  <si>
    <t>Buitre negro</t>
  </si>
  <si>
    <t>Águila imperial ibérica</t>
  </si>
  <si>
    <t>Aquila chrysaetos</t>
  </si>
  <si>
    <t>Águila real</t>
  </si>
  <si>
    <t>Aguilucho lagunero occidental</t>
  </si>
  <si>
    <t>Aguilucho pálido</t>
  </si>
  <si>
    <t>Aguilucho cenizo</t>
  </si>
  <si>
    <t>Elanus caeruleus</t>
  </si>
  <si>
    <t>Elanio común</t>
  </si>
  <si>
    <t>Gypaetus barbatus</t>
  </si>
  <si>
    <t>Quebrantahuesos</t>
  </si>
  <si>
    <t>Gyps fulvus</t>
  </si>
  <si>
    <t>Buitre leonado</t>
  </si>
  <si>
    <t>Milano negro</t>
  </si>
  <si>
    <t>Milano real</t>
  </si>
  <si>
    <t>Alimoche común</t>
  </si>
  <si>
    <t>Pernis apivorus</t>
  </si>
  <si>
    <t>Halcón abejero</t>
  </si>
  <si>
    <t>Falco columbarius</t>
  </si>
  <si>
    <t>Esmerejón</t>
  </si>
  <si>
    <t>Falco naumanni</t>
  </si>
  <si>
    <t>Cernícalo primilla</t>
  </si>
  <si>
    <t>Falco subbuteo</t>
  </si>
  <si>
    <t>Alcotán europeo</t>
  </si>
  <si>
    <t>Turnix sylvatica</t>
  </si>
  <si>
    <t xml:space="preserve">Torillo </t>
  </si>
  <si>
    <t>Grus grus</t>
  </si>
  <si>
    <t>Grulla común</t>
  </si>
  <si>
    <t>Crex crex</t>
  </si>
  <si>
    <t>Guión de codornices</t>
  </si>
  <si>
    <t>Fulica cristata</t>
  </si>
  <si>
    <t xml:space="preserve"> Focha cornuda o moruna</t>
  </si>
  <si>
    <t>Porphyrio porphyrio</t>
  </si>
  <si>
    <t>Calamón común</t>
  </si>
  <si>
    <t>Porzana parva</t>
  </si>
  <si>
    <t>Polluela bastarda</t>
  </si>
  <si>
    <t>Porzana porzana</t>
  </si>
  <si>
    <t>Polluela pintoja</t>
  </si>
  <si>
    <t>Porzana pusilla</t>
  </si>
  <si>
    <t>Polluela chica</t>
  </si>
  <si>
    <t>Otis tarda</t>
  </si>
  <si>
    <t>Avutarda común</t>
  </si>
  <si>
    <t>Sisón común</t>
  </si>
  <si>
    <t>Haematopus ostralegus</t>
  </si>
  <si>
    <t>Ostrero euroasiático</t>
  </si>
  <si>
    <t>Cigüeñuela común</t>
  </si>
  <si>
    <t>Recurvirostra avosetta</t>
  </si>
  <si>
    <t>Avoceta común</t>
  </si>
  <si>
    <t>Alcaraván común</t>
  </si>
  <si>
    <t>Corredor sahariano</t>
  </si>
  <si>
    <t>Glareola pratincola</t>
  </si>
  <si>
    <t>Canastera común</t>
  </si>
  <si>
    <t>Charadrius alexandrinus</t>
  </si>
  <si>
    <t>Chorlitejo patinegro</t>
  </si>
  <si>
    <t>Charadrius hiaticula</t>
  </si>
  <si>
    <t>Chorlitejo grande</t>
  </si>
  <si>
    <t>Chorlito carambolo</t>
  </si>
  <si>
    <t>Pluvialis apricaria</t>
  </si>
  <si>
    <t>Chorlito dorado europeo</t>
  </si>
  <si>
    <t>Chorlito gris</t>
  </si>
  <si>
    <t>Andarríos chico</t>
  </si>
  <si>
    <t>Arenaria interpres</t>
  </si>
  <si>
    <t>Vuelvepiedras común</t>
  </si>
  <si>
    <t>Calidris alba</t>
  </si>
  <si>
    <t>Correlimos tridáctilo</t>
  </si>
  <si>
    <t>Calidris alpina</t>
  </si>
  <si>
    <t xml:space="preserve">Correlimos común </t>
  </si>
  <si>
    <t>Calidris canutus</t>
  </si>
  <si>
    <t>Correlimos gordo</t>
  </si>
  <si>
    <t>Calidris ferruginea</t>
  </si>
  <si>
    <t>Correlimos zarapitín</t>
  </si>
  <si>
    <t>Calidris maritima</t>
  </si>
  <si>
    <t>Correlimos oscuro</t>
  </si>
  <si>
    <t>Calidris minuta</t>
  </si>
  <si>
    <t>Correlimos menudo</t>
  </si>
  <si>
    <t>Calidris temminckii</t>
  </si>
  <si>
    <t>Correlimos de Temminck</t>
  </si>
  <si>
    <t>Limosa lapponica</t>
  </si>
  <si>
    <t>Aguja colipinta</t>
  </si>
  <si>
    <t>Limosa limosa</t>
  </si>
  <si>
    <t>Aguja colinegra</t>
  </si>
  <si>
    <t>Numenius arquata</t>
  </si>
  <si>
    <t>Zarapito real</t>
  </si>
  <si>
    <t>Zarapito trinador</t>
  </si>
  <si>
    <t>Phalaropus fulicarius</t>
  </si>
  <si>
    <t>Faloropo picogrueso</t>
  </si>
  <si>
    <t>Phalaropus lobatus</t>
  </si>
  <si>
    <t>Faloropo picofino</t>
  </si>
  <si>
    <t>Philomachus pugnax</t>
  </si>
  <si>
    <t>Combatiente</t>
  </si>
  <si>
    <t>Archibebe oscuro</t>
  </si>
  <si>
    <t>Tringa glareola</t>
  </si>
  <si>
    <t>Andarríos bastardo</t>
  </si>
  <si>
    <t>Archibebe claro</t>
  </si>
  <si>
    <t>Tringa ochropus</t>
  </si>
  <si>
    <t>Andarríos grande</t>
  </si>
  <si>
    <t>Tringa stagnatilis</t>
  </si>
  <si>
    <t>Archibebe fino</t>
  </si>
  <si>
    <t>Tringa totanus</t>
  </si>
  <si>
    <t>Archibebe común</t>
  </si>
  <si>
    <t>Págalo parásito</t>
  </si>
  <si>
    <t>Págalo pomarino</t>
  </si>
  <si>
    <t>Págalo grande</t>
  </si>
  <si>
    <t>Larus audouinii</t>
  </si>
  <si>
    <t>Gaviota de Audouin</t>
  </si>
  <si>
    <t>Larus canus</t>
  </si>
  <si>
    <t>Gaviota cana</t>
  </si>
  <si>
    <t>Larus genei</t>
  </si>
  <si>
    <t>Gaviota picofina</t>
  </si>
  <si>
    <t>Larus marinus</t>
  </si>
  <si>
    <t>Gavión atlántico</t>
  </si>
  <si>
    <t>Larus melanocephalus</t>
  </si>
  <si>
    <t>Gaviota cabecinegra</t>
  </si>
  <si>
    <t>Larus minutus</t>
  </si>
  <si>
    <t>Gaviota enana</t>
  </si>
  <si>
    <t>Rissa tridactyla</t>
  </si>
  <si>
    <t>Gaviota tridáctila</t>
  </si>
  <si>
    <t>Chlidonias hybridus</t>
  </si>
  <si>
    <t>Fumarel cariblanco</t>
  </si>
  <si>
    <t>Chlidonias leucopterus</t>
  </si>
  <si>
    <t>Fumarel aliblanco</t>
  </si>
  <si>
    <t>Chlidonias niger</t>
  </si>
  <si>
    <t>Fumarel común</t>
  </si>
  <si>
    <t>Pagaza piconegra</t>
  </si>
  <si>
    <t>Sterna (Thalasseus) sandvicensis</t>
  </si>
  <si>
    <t>Charrán patinegro</t>
  </si>
  <si>
    <t>Sterna albifrons</t>
  </si>
  <si>
    <t>Charrancito común</t>
  </si>
  <si>
    <t>Sterna caspia</t>
  </si>
  <si>
    <t>Pagaza piquirroja</t>
  </si>
  <si>
    <t>Sterna hirundo</t>
  </si>
  <si>
    <t>Charrán común</t>
  </si>
  <si>
    <t xml:space="preserve">Alca común </t>
  </si>
  <si>
    <t>Fratercula arctica</t>
  </si>
  <si>
    <t>Frailecillo atlántico</t>
  </si>
  <si>
    <t>Uria aalge</t>
  </si>
  <si>
    <t>Arao común</t>
  </si>
  <si>
    <t>Pterocles alchata</t>
  </si>
  <si>
    <t>Ganga común</t>
  </si>
  <si>
    <t>Pterocles orientalis</t>
  </si>
  <si>
    <t>Ortega</t>
  </si>
  <si>
    <t>Críalo europeo</t>
  </si>
  <si>
    <t>Tyto alba alba</t>
  </si>
  <si>
    <t>Asio flammeus</t>
  </si>
  <si>
    <t>Búho campestre</t>
  </si>
  <si>
    <t>Búho chico</t>
  </si>
  <si>
    <t xml:space="preserve">Mochuelo común </t>
  </si>
  <si>
    <t>Chotacabras europeo</t>
  </si>
  <si>
    <t>Apus caffer</t>
  </si>
  <si>
    <t>Vencejo cafre</t>
  </si>
  <si>
    <t>Carraca</t>
  </si>
  <si>
    <t>Dendrocopos minor</t>
  </si>
  <si>
    <t>Pico menor</t>
  </si>
  <si>
    <t xml:space="preserve">Terrera común </t>
  </si>
  <si>
    <t>Calandrella rufescens</t>
  </si>
  <si>
    <t>Terrera marismeña</t>
  </si>
  <si>
    <t>Alondra de Dupont o ricotí</t>
  </si>
  <si>
    <t xml:space="preserve">Cogujada común </t>
  </si>
  <si>
    <t>Calandria común</t>
  </si>
  <si>
    <t>Hirundo daurica</t>
  </si>
  <si>
    <t>Avión zapador</t>
  </si>
  <si>
    <t>Anthus pratensis</t>
  </si>
  <si>
    <t xml:space="preserve">Bisbita común </t>
  </si>
  <si>
    <t>Anthus spinoletta</t>
  </si>
  <si>
    <t>Bisbita alpino</t>
  </si>
  <si>
    <t>Anthus trivialis</t>
  </si>
  <si>
    <t>Bisbita arbóreo</t>
  </si>
  <si>
    <t>Motacilla flava</t>
  </si>
  <si>
    <t>Lavandera boyera</t>
  </si>
  <si>
    <t>Cinclus cinclus</t>
  </si>
  <si>
    <t>Mirlo acuático</t>
  </si>
  <si>
    <t>Prunella collaris</t>
  </si>
  <si>
    <t>Acentor alpino</t>
  </si>
  <si>
    <t>Prunella modularis</t>
  </si>
  <si>
    <t>Acentor común</t>
  </si>
  <si>
    <t>Cercotrichas galactotes</t>
  </si>
  <si>
    <t>Alzacola</t>
  </si>
  <si>
    <t>Luscinia svecica</t>
  </si>
  <si>
    <t>Pechiazul</t>
  </si>
  <si>
    <t>Colirrojo real</t>
  </si>
  <si>
    <t>Saxicola rubetra</t>
  </si>
  <si>
    <t>Tarabilla norteña</t>
  </si>
  <si>
    <t>Saxicola torquata</t>
  </si>
  <si>
    <t>Turdus torquatus</t>
  </si>
  <si>
    <t>Mirlo capiblanco</t>
  </si>
  <si>
    <t>Carricero tordal</t>
  </si>
  <si>
    <t>Acrocephalus melanopogon</t>
  </si>
  <si>
    <t>Carricerín real</t>
  </si>
  <si>
    <t>Acrocephalus paludicola</t>
  </si>
  <si>
    <t>Carricerín cejudo</t>
  </si>
  <si>
    <t>Acrocephalus schoenobaenus</t>
  </si>
  <si>
    <t>Carricerín común</t>
  </si>
  <si>
    <t>Carricero común</t>
  </si>
  <si>
    <t>Hippolais pallida</t>
  </si>
  <si>
    <t>Zarcero pálido</t>
  </si>
  <si>
    <t>Locustella luscinioides</t>
  </si>
  <si>
    <t>Buscarla unicolor</t>
  </si>
  <si>
    <t>Locustella naevia</t>
  </si>
  <si>
    <t>Buscarla pintoja</t>
  </si>
  <si>
    <t>Phylloscopus collybita</t>
  </si>
  <si>
    <t xml:space="preserve">Mosquitero común </t>
  </si>
  <si>
    <t>Phylloscopus sibilatrix</t>
  </si>
  <si>
    <t>Mosquitero silbador</t>
  </si>
  <si>
    <t>Phylloscopus trochilus</t>
  </si>
  <si>
    <t>Mosquitero musical</t>
  </si>
  <si>
    <t>Regulus ignicapillus</t>
  </si>
  <si>
    <t>Regulus regulus</t>
  </si>
  <si>
    <t>Reyezuelo sencillo</t>
  </si>
  <si>
    <t>Sylvia borin</t>
  </si>
  <si>
    <t>Curruca mosquitera</t>
  </si>
  <si>
    <t>Sylvia communis</t>
  </si>
  <si>
    <t>Curruca zarcera</t>
  </si>
  <si>
    <t>Curruca tomillera</t>
  </si>
  <si>
    <t xml:space="preserve">Curruca mirlona </t>
  </si>
  <si>
    <t>Ficedula hypoleuca</t>
  </si>
  <si>
    <t>Papamoscas cerrojillo</t>
  </si>
  <si>
    <t>Carbonero garrapinos</t>
  </si>
  <si>
    <t>Herrerillo común</t>
  </si>
  <si>
    <t>Lophophanes cristatus</t>
  </si>
  <si>
    <t>Herrerillo capuchino</t>
  </si>
  <si>
    <t>Treparriscos</t>
  </si>
  <si>
    <t>Pájaro moscón</t>
  </si>
  <si>
    <t>Alcaudón real meridional</t>
  </si>
  <si>
    <t>Cyanopica cyanus</t>
  </si>
  <si>
    <t>Rabilargo</t>
  </si>
  <si>
    <t>Bucanetes githagineus</t>
  </si>
  <si>
    <t>Camachuelo trompetero</t>
  </si>
  <si>
    <t>Carduelis spinus</t>
  </si>
  <si>
    <t>Lúgano</t>
  </si>
  <si>
    <t>Pinzón real</t>
  </si>
  <si>
    <t xml:space="preserve">Camachuelo común </t>
  </si>
  <si>
    <t>Serinus citrinella</t>
  </si>
  <si>
    <t>Verderón serrano</t>
  </si>
  <si>
    <t>Emberiza hortulana</t>
  </si>
  <si>
    <t>Escribano hortelano</t>
  </si>
  <si>
    <t>Emberiza schoeniclus schoeniclus</t>
  </si>
  <si>
    <t>Escribano palustre</t>
  </si>
  <si>
    <t>Cerambyx cerdo</t>
  </si>
  <si>
    <t>Euphydryas aurinia</t>
  </si>
  <si>
    <t>Graellsia isabelae</t>
  </si>
  <si>
    <t>Parnassius apollo</t>
  </si>
  <si>
    <t>Polyommatus golgus</t>
  </si>
  <si>
    <t>Niña de Sierra Nevada</t>
  </si>
  <si>
    <t>Proserpinus proserpina</t>
  </si>
  <si>
    <t>Apteromantis aptera</t>
  </si>
  <si>
    <t>Coenagrion mercuriale</t>
  </si>
  <si>
    <t>Gomphus graslinii</t>
  </si>
  <si>
    <t>Macromia splendens</t>
  </si>
  <si>
    <t>Libélula</t>
  </si>
  <si>
    <t>Oxygastra curtisii</t>
  </si>
  <si>
    <t>Caracola</t>
  </si>
  <si>
    <t>Bucio</t>
  </si>
  <si>
    <t>Cymbula nigra</t>
  </si>
  <si>
    <t>Dendropoma petraeum</t>
  </si>
  <si>
    <t>Erosaria spurca</t>
  </si>
  <si>
    <t>Luria lurida</t>
  </si>
  <si>
    <t>Mitra zonata</t>
  </si>
  <si>
    <t>Lapa ferruginea</t>
  </si>
  <si>
    <t>Schilderia achatidea</t>
  </si>
  <si>
    <t>Zonaria pyrum</t>
  </si>
  <si>
    <t>Lithophaga lithophaga</t>
  </si>
  <si>
    <t>Pholas dactylus</t>
  </si>
  <si>
    <t>Pinna nobilis</t>
  </si>
  <si>
    <t>Pinna rudis</t>
  </si>
  <si>
    <t>Estrella del capitán pequeña</t>
  </si>
  <si>
    <t>Centrostephanus longispinus</t>
  </si>
  <si>
    <t>Ophidiaster ophidianus</t>
  </si>
  <si>
    <t>Estrella púrpura</t>
  </si>
  <si>
    <t>Coral naranja</t>
  </si>
  <si>
    <t>Errina aspera</t>
  </si>
  <si>
    <t>Savalia savaglia</t>
  </si>
  <si>
    <t>Axinella polypoides</t>
  </si>
  <si>
    <t>Geodia cydonium</t>
  </si>
  <si>
    <t>Sarcophagus pipetta</t>
  </si>
  <si>
    <t>Erizo moruno</t>
  </si>
  <si>
    <t>Murciélago mediterrráneo de herradura</t>
  </si>
  <si>
    <t>Murciélago mediano de herradura</t>
  </si>
  <si>
    <t>Barbastella barbastellus</t>
  </si>
  <si>
    <t>Murciélago hortelano mediterráneo</t>
  </si>
  <si>
    <t>Murciélago ratonero mediano</t>
  </si>
  <si>
    <t>Myotis capaccinii</t>
  </si>
  <si>
    <t>Myotis daubentonii</t>
  </si>
  <si>
    <t>Murciélago de Geoffroy o de oreja partida</t>
  </si>
  <si>
    <t>Myotis nattereri (=M. escalerai)</t>
  </si>
  <si>
    <t xml:space="preserve">Nóctulo mediano </t>
  </si>
  <si>
    <t>Plecotus austriacus</t>
  </si>
  <si>
    <t>Tadarida teniotis</t>
  </si>
  <si>
    <t>Murciélago rabudo</t>
  </si>
  <si>
    <t>Microtus cabrerae</t>
  </si>
  <si>
    <t>Canis lupus</t>
  </si>
  <si>
    <t>Lobo</t>
  </si>
  <si>
    <t xml:space="preserve">Gato montés </t>
  </si>
  <si>
    <t>Lynx pardinus</t>
  </si>
  <si>
    <t>Lince ibérico</t>
  </si>
  <si>
    <t>Balaenoptera acutorostrata</t>
  </si>
  <si>
    <t>Rorcual aliblanco</t>
  </si>
  <si>
    <t>Balaenoptera musculus</t>
  </si>
  <si>
    <t>Rorcual azul</t>
  </si>
  <si>
    <t>Rorcual común</t>
  </si>
  <si>
    <t>Megaptera novaeangliae</t>
  </si>
  <si>
    <t>Yubarta</t>
  </si>
  <si>
    <t>Kogia breviceps</t>
  </si>
  <si>
    <t>Cachalote pigmeo</t>
  </si>
  <si>
    <t>Kogia sima</t>
  </si>
  <si>
    <t>Cachalote enano</t>
  </si>
  <si>
    <t>Physeter macrocephalus</t>
  </si>
  <si>
    <t>Cachalote</t>
  </si>
  <si>
    <t>Delphinus delphis</t>
  </si>
  <si>
    <t>Delfín común</t>
  </si>
  <si>
    <t>Globicephala melas</t>
  </si>
  <si>
    <t>Calderón común</t>
  </si>
  <si>
    <t>Grampus griseus</t>
  </si>
  <si>
    <t>Calderón gris</t>
  </si>
  <si>
    <t>Orcinus orca</t>
  </si>
  <si>
    <t>Orca</t>
  </si>
  <si>
    <t>Stenella coeruleoalba</t>
  </si>
  <si>
    <t>Delfín listado</t>
  </si>
  <si>
    <t>Delfín mular</t>
  </si>
  <si>
    <t>Marsopa común</t>
  </si>
  <si>
    <t>Hyperoodon ampullatus</t>
  </si>
  <si>
    <t>Zifio calderón septentrional</t>
  </si>
  <si>
    <t>Mesoplodon densirostris</t>
  </si>
  <si>
    <t>Zifio de Blainville</t>
  </si>
  <si>
    <t>Mesoplodon europaeus</t>
  </si>
  <si>
    <t>Zifio de Gervais</t>
  </si>
  <si>
    <t>Mesoplodon mirus</t>
  </si>
  <si>
    <t>Zifio de True</t>
  </si>
  <si>
    <t>Ziphius cavirostris</t>
  </si>
  <si>
    <t>Lamprea marina</t>
  </si>
  <si>
    <t>Tiburón blanco</t>
  </si>
  <si>
    <t>Tiburón peregrino</t>
  </si>
  <si>
    <t>Manta</t>
  </si>
  <si>
    <t>Caballito de mar</t>
  </si>
  <si>
    <t>Carcharias taurus</t>
  </si>
  <si>
    <t>Tiburón toro, Toro bacota</t>
  </si>
  <si>
    <t>Odontaspis ferox</t>
  </si>
  <si>
    <t>Solrayo</t>
  </si>
  <si>
    <t>Dipturus batis</t>
  </si>
  <si>
    <t>Noriega</t>
  </si>
  <si>
    <t>Rostroraja alba</t>
  </si>
  <si>
    <t>Raya blanca, Raya bramante</t>
  </si>
  <si>
    <t>Gymnura altavela</t>
  </si>
  <si>
    <t>Raya mariposa, Mantellina</t>
  </si>
  <si>
    <t>Pristis pectinata</t>
  </si>
  <si>
    <t>Pez sierra</t>
  </si>
  <si>
    <t>Pristis pristis</t>
  </si>
  <si>
    <t>Pez sierra, Pejesierra</t>
  </si>
  <si>
    <t>Oxynotus centrina</t>
  </si>
  <si>
    <t>Cerdo marino</t>
  </si>
  <si>
    <t>Squatina aculeata</t>
  </si>
  <si>
    <t>Angelote espinoso</t>
  </si>
  <si>
    <t>Angelote manchado</t>
  </si>
  <si>
    <t>Squatina squatina</t>
  </si>
  <si>
    <t>Angelote</t>
  </si>
  <si>
    <t>Esturión</t>
  </si>
  <si>
    <t>Jarabugo</t>
  </si>
  <si>
    <t>Squalius palaciosi (= Iberocypris palaciosi)</t>
  </si>
  <si>
    <t>Bogardilla</t>
  </si>
  <si>
    <t>Salinete, Fartet atlántico</t>
  </si>
  <si>
    <t>Fartet</t>
  </si>
  <si>
    <t>Salaria fluviatilis (= Blennius fluviatilis)</t>
  </si>
  <si>
    <t>Fraile</t>
  </si>
  <si>
    <t>Testudo graeca</t>
  </si>
  <si>
    <t>Tortuga mora</t>
  </si>
  <si>
    <t>Tortuga boba</t>
  </si>
  <si>
    <t>Chelonia mydas</t>
  </si>
  <si>
    <t>Tortuga verde</t>
  </si>
  <si>
    <t>Eretmochelys imbricata</t>
  </si>
  <si>
    <t>Tortuga carey</t>
  </si>
  <si>
    <t>Dermochelys coriacea</t>
  </si>
  <si>
    <t>Tortuga laúd</t>
  </si>
  <si>
    <t>Emys orbicularis</t>
  </si>
  <si>
    <t>Galápago europeo</t>
  </si>
  <si>
    <t>Chamaeleo chamaeleon</t>
  </si>
  <si>
    <t>Camaleón común</t>
  </si>
  <si>
    <t>Chalcides bedriagai</t>
  </si>
  <si>
    <t>Eslizón ibérico</t>
  </si>
  <si>
    <t>Eslizón tridáctilo</t>
  </si>
  <si>
    <t>Lagartija colirroja</t>
  </si>
  <si>
    <t>Algyroides marchi</t>
  </si>
  <si>
    <t>Lagartija de Valverde</t>
  </si>
  <si>
    <t>Lacerta schreiberi</t>
  </si>
  <si>
    <t>Lagarto verdinegro</t>
  </si>
  <si>
    <t>Lagartija andaluza</t>
  </si>
  <si>
    <t>Psammodromus hispanicus</t>
  </si>
  <si>
    <t>Lagartija cenicienta</t>
  </si>
  <si>
    <t xml:space="preserve">Culebrilla ciega </t>
  </si>
  <si>
    <t>Coronella austriaca</t>
  </si>
  <si>
    <t>Culebra lisa europea</t>
  </si>
  <si>
    <t>Natrix natrix</t>
  </si>
  <si>
    <t>Culebra de collar</t>
  </si>
  <si>
    <t>Culebra de escalera</t>
  </si>
  <si>
    <t>Gymnogongrus crenulatus</t>
  </si>
  <si>
    <t>Kallymenia spathulata</t>
  </si>
  <si>
    <t>Sargassum acinarium</t>
  </si>
  <si>
    <t>Sargassum trichocarpum</t>
  </si>
  <si>
    <t>Schimmelmannia schousboei</t>
  </si>
  <si>
    <t>Astragalus tremolsianus</t>
  </si>
  <si>
    <t>Avellara fistulosa</t>
  </si>
  <si>
    <t>Linaria tursica</t>
  </si>
  <si>
    <t>Moehringia fontqueri</t>
  </si>
  <si>
    <t>Seseli intricatum</t>
  </si>
  <si>
    <t>Utricularia australis</t>
  </si>
  <si>
    <t>Aquilegia pyrenaica subsp. cazorlensis</t>
  </si>
  <si>
    <t>Aguileña de Cazorla</t>
  </si>
  <si>
    <t>Arenaria nevadensis</t>
  </si>
  <si>
    <t>Arenaria</t>
  </si>
  <si>
    <t>Artemisia granatensis</t>
  </si>
  <si>
    <t>Manzanilla de Sierra Nevada</t>
  </si>
  <si>
    <t>Lithodora nitida</t>
  </si>
  <si>
    <t>Odontites granatensis</t>
  </si>
  <si>
    <t>Arenaria alfacarensis</t>
  </si>
  <si>
    <t>Planta piedra</t>
  </si>
  <si>
    <t>Atropa baetica</t>
  </si>
  <si>
    <t>Tabaco gordo</t>
  </si>
  <si>
    <t>Christella dentata</t>
  </si>
  <si>
    <t>Coronopus navasii</t>
  </si>
  <si>
    <t>Crepis granatensis</t>
  </si>
  <si>
    <t>Culcita macrocarpa</t>
  </si>
  <si>
    <t>Armeria velutina</t>
  </si>
  <si>
    <t>Diplazium caudatum</t>
  </si>
  <si>
    <t>Helecho de sombra</t>
  </si>
  <si>
    <t>Diplotaxis siettiana</t>
  </si>
  <si>
    <t>Jaramago de Alborán</t>
  </si>
  <si>
    <t>Carex furva</t>
  </si>
  <si>
    <t>Centaurea citricolor</t>
  </si>
  <si>
    <t>Erigeron frigidus</t>
  </si>
  <si>
    <t>Apium repens</t>
  </si>
  <si>
    <t>Cymodocea nodosa</t>
  </si>
  <si>
    <t>Seba</t>
  </si>
  <si>
    <t>Erodium astragaloides</t>
  </si>
  <si>
    <t>Festuca elegans</t>
  </si>
  <si>
    <t>Erodium rupicola</t>
  </si>
  <si>
    <t>Limonium ovalifolium</t>
  </si>
  <si>
    <t>Galium viridiflorum</t>
  </si>
  <si>
    <t>Gaudinia hispanica</t>
  </si>
  <si>
    <t>Narcissus triandrus</t>
  </si>
  <si>
    <t>Pilularia minuta</t>
  </si>
  <si>
    <t>Sisymbrium cavanillesianum</t>
  </si>
  <si>
    <t>Zostera marina</t>
  </si>
  <si>
    <t>Riella helicophylla</t>
  </si>
  <si>
    <t>Leontodon boryi</t>
  </si>
  <si>
    <t>Orobanche densiflora</t>
  </si>
  <si>
    <t>Hieracium texedense</t>
  </si>
  <si>
    <t>Hydrocharis morsus-ranae</t>
  </si>
  <si>
    <t>Jurinea fontqueri</t>
  </si>
  <si>
    <t>Ilex aquifolium</t>
  </si>
  <si>
    <t>Laserpitium longiradium</t>
  </si>
  <si>
    <t>Limonium malacitanum</t>
  </si>
  <si>
    <t>Siempreviva malagueña</t>
  </si>
  <si>
    <t>Helianthemum alypoides</t>
  </si>
  <si>
    <t>Antirrhinum charidemi</t>
  </si>
  <si>
    <t>Marsilea batardae</t>
  </si>
  <si>
    <t>Trébol de cuatro hojas</t>
  </si>
  <si>
    <t>Carduus myriacanthus</t>
  </si>
  <si>
    <t>Centaurea gadorensis</t>
  </si>
  <si>
    <t>Clypeola eriocarpa</t>
  </si>
  <si>
    <t>Marsilea strigosa</t>
  </si>
  <si>
    <t>Cineraria</t>
  </si>
  <si>
    <t>Narcissus longispathus</t>
  </si>
  <si>
    <t>Narcissus nevadensis</t>
  </si>
  <si>
    <t>Euphorbia transtagana</t>
  </si>
  <si>
    <t>Helecho escoba</t>
  </si>
  <si>
    <t>Pteris incompleta</t>
  </si>
  <si>
    <t>Narcissus viridiflorus</t>
  </si>
  <si>
    <t>Prunus avium</t>
  </si>
  <si>
    <t>Picris willkommii</t>
  </si>
  <si>
    <t>Santolina elegans</t>
  </si>
  <si>
    <t>Rosmarinus tomentosus</t>
  </si>
  <si>
    <t>Micropyropsis tuberosa</t>
  </si>
  <si>
    <t>Neottia nidus-avis</t>
  </si>
  <si>
    <t>Silene mariana</t>
  </si>
  <si>
    <t>Sorbus aria</t>
  </si>
  <si>
    <t>Sorbus aucuparia</t>
  </si>
  <si>
    <t>Serbal de cazadores</t>
  </si>
  <si>
    <t>Rupicapnos africana subsp. decipiens</t>
  </si>
  <si>
    <t>Conejitos</t>
  </si>
  <si>
    <t>Sorbus torminalis</t>
  </si>
  <si>
    <t>Mostajo</t>
  </si>
  <si>
    <t>Ornithogalum reverchonii</t>
  </si>
  <si>
    <t>Zapaticos de la Virgen</t>
  </si>
  <si>
    <t>Sarcocapnos speciosa</t>
  </si>
  <si>
    <t>Hierba de la Lucía</t>
  </si>
  <si>
    <t>Taxus baccata</t>
  </si>
  <si>
    <t>Teucrium charidemi</t>
  </si>
  <si>
    <t>Thymus carnosus</t>
  </si>
  <si>
    <t>Viburnum opulus</t>
  </si>
  <si>
    <t>Pinguicula nevadensis</t>
  </si>
  <si>
    <t>Plantago algarbiensis</t>
  </si>
  <si>
    <t>Teucrium turredanum</t>
  </si>
  <si>
    <t>Thymus albicans</t>
  </si>
  <si>
    <t>Almoradux, Mejorana</t>
  </si>
  <si>
    <t>Thymelaea lythroides</t>
  </si>
  <si>
    <t>Viola cazorlensis</t>
  </si>
  <si>
    <t>Vulpia fontquerana</t>
  </si>
  <si>
    <t>Grupo Taxonómico</t>
  </si>
  <si>
    <t xml:space="preserve">TaxonID </t>
  </si>
  <si>
    <t>Nombre científico LESRPE / CEEA</t>
  </si>
  <si>
    <t xml:space="preserve">Nombre científico actualizado </t>
  </si>
  <si>
    <t>Rango taxonómico</t>
  </si>
  <si>
    <t>Población referida</t>
  </si>
  <si>
    <t>Listado de Especies Silvestres en Régimen de Protección Especial (LESRPE)/
Categorías en el Catálogo Español de Especies Amenazadas (CEEA)</t>
  </si>
  <si>
    <t>Norma</t>
  </si>
  <si>
    <t>Situación anterior LESRPE / CEEA (en Normativa)</t>
  </si>
  <si>
    <t xml:space="preserve">Observaciones </t>
  </si>
  <si>
    <r>
      <rPr>
        <i/>
        <sz val="10"/>
        <rFont val="Arial"/>
        <family val="2"/>
      </rPr>
      <t>Alytes cisternasii</t>
    </r>
    <r>
      <rPr>
        <sz val="10"/>
        <rFont val="Arial"/>
        <family val="2"/>
      </rPr>
      <t xml:space="preserve"> Boscá, 1879</t>
    </r>
  </si>
  <si>
    <t>especie</t>
  </si>
  <si>
    <t>Real Decreto 139/2011</t>
  </si>
  <si>
    <t>Alytes dickhilleni</t>
  </si>
  <si>
    <r>
      <rPr>
        <i/>
        <sz val="10"/>
        <rFont val="Arial"/>
        <family val="2"/>
      </rPr>
      <t>Alytes dickhilleni</t>
    </r>
    <r>
      <rPr>
        <sz val="10"/>
        <rFont val="Arial"/>
        <family val="2"/>
      </rPr>
      <t xml:space="preserve"> Arntzen &amp; García-París, 1995</t>
    </r>
  </si>
  <si>
    <t>Alytes muletensis</t>
  </si>
  <si>
    <r>
      <rPr>
        <i/>
        <sz val="10"/>
        <rFont val="Arial"/>
        <family val="2"/>
      </rPr>
      <t>Alytes muletensis</t>
    </r>
    <r>
      <rPr>
        <sz val="10"/>
        <rFont val="Arial"/>
        <family val="2"/>
      </rPr>
      <t xml:space="preserve"> (Sanchiz &amp; Adrover, 1977)</t>
    </r>
  </si>
  <si>
    <t>Ferreret</t>
  </si>
  <si>
    <t>En peligro de extinción</t>
  </si>
  <si>
    <t>Alytes obstetricans</t>
  </si>
  <si>
    <r>
      <rPr>
        <i/>
        <sz val="10"/>
        <rFont val="Arial"/>
        <family val="2"/>
      </rPr>
      <t>Alytes obstetricans</t>
    </r>
    <r>
      <rPr>
        <sz val="10"/>
        <rFont val="Arial"/>
        <family val="2"/>
      </rPr>
      <t xml:space="preserve"> (Laurenti, 1768)</t>
    </r>
  </si>
  <si>
    <t>Sapo partero común</t>
  </si>
  <si>
    <t>Bufo balearicus (= Bufo viridis)</t>
  </si>
  <si>
    <r>
      <rPr>
        <i/>
        <sz val="10"/>
        <rFont val="Arial"/>
        <family val="2"/>
      </rPr>
      <t>Bufotes viridis balearicus</t>
    </r>
    <r>
      <rPr>
        <sz val="10"/>
        <rFont val="Arial"/>
        <family val="2"/>
      </rPr>
      <t xml:space="preserve"> (Boettger, 1880)</t>
    </r>
  </si>
  <si>
    <t>Sapo verde balear</t>
  </si>
  <si>
    <t>Calotriton arnoldi</t>
  </si>
  <si>
    <r>
      <rPr>
        <i/>
        <sz val="10"/>
        <rFont val="Arial"/>
        <family val="2"/>
      </rPr>
      <t>Calotriton arnoldi</t>
    </r>
    <r>
      <rPr>
        <sz val="10"/>
        <rFont val="Arial"/>
        <family val="2"/>
      </rPr>
      <t xml:space="preserve"> Carranza &amp; Amat, 2005</t>
    </r>
  </si>
  <si>
    <t>Tritón del Montseny</t>
  </si>
  <si>
    <t>Calotriton (Euproctus) asper</t>
  </si>
  <si>
    <r>
      <rPr>
        <i/>
        <sz val="10"/>
        <rFont val="Arial"/>
        <family val="2"/>
      </rPr>
      <t>Calotriton asper</t>
    </r>
    <r>
      <rPr>
        <sz val="10"/>
        <rFont val="Arial"/>
        <family val="2"/>
      </rPr>
      <t xml:space="preserve"> (Dugès, 1852)</t>
    </r>
  </si>
  <si>
    <t>Tritón pirenaico</t>
  </si>
  <si>
    <t>Chioglossa lusitanica</t>
  </si>
  <si>
    <r>
      <rPr>
        <i/>
        <sz val="10"/>
        <rFont val="Arial"/>
        <family val="2"/>
      </rPr>
      <t>Chioglossa lusitanica</t>
    </r>
    <r>
      <rPr>
        <sz val="10"/>
        <rFont val="Arial"/>
        <family val="2"/>
      </rPr>
      <t xml:space="preserve"> Bocage, 1864</t>
    </r>
  </si>
  <si>
    <t>Salamandra rabilarga</t>
  </si>
  <si>
    <r>
      <rPr>
        <i/>
        <sz val="10"/>
        <rFont val="Arial"/>
        <family val="2"/>
      </rPr>
      <t>Discoglossus galganoi</t>
    </r>
    <r>
      <rPr>
        <sz val="10"/>
        <rFont val="Arial"/>
        <family val="2"/>
      </rPr>
      <t xml:space="preserve"> Capula, Nascetti, Lanza, Crespo &amp; Bullini 1985</t>
    </r>
  </si>
  <si>
    <r>
      <t xml:space="preserve">Discoglossus galganoi jeanneae </t>
    </r>
    <r>
      <rPr>
        <sz val="10"/>
        <color theme="1"/>
        <rFont val="Arial"/>
        <family val="2"/>
      </rPr>
      <t>Busack, 1986</t>
    </r>
  </si>
  <si>
    <t>subespecie</t>
  </si>
  <si>
    <t>Discoglossus pictus</t>
  </si>
  <si>
    <r>
      <rPr>
        <i/>
        <sz val="10"/>
        <rFont val="Arial"/>
        <family val="2"/>
      </rPr>
      <t>Discoglossus pictus</t>
    </r>
    <r>
      <rPr>
        <sz val="10"/>
        <rFont val="Arial"/>
        <family val="2"/>
      </rPr>
      <t xml:space="preserve"> (Otth, 1837)</t>
    </r>
  </si>
  <si>
    <t>Sapillo pintojo mediterráneo</t>
  </si>
  <si>
    <r>
      <rPr>
        <i/>
        <sz val="10"/>
        <rFont val="Arial"/>
        <family val="2"/>
      </rPr>
      <t>Epidalea calamita</t>
    </r>
    <r>
      <rPr>
        <sz val="10"/>
        <rFont val="Arial"/>
        <family val="2"/>
      </rPr>
      <t xml:space="preserve"> (Laurenti, 1768)</t>
    </r>
  </si>
  <si>
    <r>
      <rPr>
        <i/>
        <sz val="10"/>
        <rFont val="Arial"/>
        <family val="2"/>
      </rPr>
      <t>Hyla meridionalis</t>
    </r>
    <r>
      <rPr>
        <sz val="10"/>
        <rFont val="Arial"/>
        <family val="2"/>
      </rPr>
      <t xml:space="preserve"> Boettger, 1874</t>
    </r>
  </si>
  <si>
    <t>Península y Baleares</t>
  </si>
  <si>
    <r>
      <rPr>
        <i/>
        <sz val="10"/>
        <rFont val="Arial"/>
        <family val="2"/>
      </rPr>
      <t>Hyla molleri</t>
    </r>
    <r>
      <rPr>
        <sz val="10"/>
        <rFont val="Arial"/>
        <family val="2"/>
      </rPr>
      <t xml:space="preserve"> (Bedriaga, 1889)</t>
    </r>
  </si>
  <si>
    <t>Lissotriton boscai (antes Triturus boscai)</t>
  </si>
  <si>
    <r>
      <rPr>
        <i/>
        <sz val="10"/>
        <rFont val="Arial"/>
        <family val="2"/>
      </rPr>
      <t>Lissotriton boscai</t>
    </r>
    <r>
      <rPr>
        <sz val="10"/>
        <rFont val="Arial"/>
        <family val="2"/>
      </rPr>
      <t xml:space="preserve"> (Lataste, 1879)</t>
    </r>
  </si>
  <si>
    <t>Lissotriton helveticus (antes Triturus helveticus)</t>
  </si>
  <si>
    <r>
      <rPr>
        <i/>
        <sz val="10"/>
        <rFont val="Arial"/>
        <family val="2"/>
      </rPr>
      <t>Lissotriton helveticus</t>
    </r>
    <r>
      <rPr>
        <sz val="10"/>
        <rFont val="Arial"/>
        <family val="2"/>
      </rPr>
      <t xml:space="preserve"> (Razoumowsky, 1789)</t>
    </r>
  </si>
  <si>
    <t>Tritón palmeado</t>
  </si>
  <si>
    <t>Mesotriton alpestris (antes Triturus alpestris)</t>
  </si>
  <si>
    <r>
      <rPr>
        <i/>
        <sz val="10"/>
        <rFont val="Arial"/>
        <family val="2"/>
      </rPr>
      <t>Ichthyosaura alpestris</t>
    </r>
    <r>
      <rPr>
        <sz val="10"/>
        <rFont val="Arial"/>
        <family val="2"/>
      </rPr>
      <t xml:space="preserve"> (Laurenti, 1768)</t>
    </r>
  </si>
  <si>
    <t>Tritón alpino</t>
  </si>
  <si>
    <r>
      <rPr>
        <i/>
        <sz val="10"/>
        <rFont val="Arial"/>
        <family val="2"/>
      </rPr>
      <t xml:space="preserve">Pelobates cultripes </t>
    </r>
    <r>
      <rPr>
        <sz val="10"/>
        <rFont val="Arial"/>
        <family val="2"/>
      </rPr>
      <t>(Cuvier, 1829)</t>
    </r>
  </si>
  <si>
    <t>Pelodytes ibericus (antes P. punctatus)</t>
  </si>
  <si>
    <r>
      <rPr>
        <i/>
        <sz val="10"/>
        <rFont val="Arial"/>
        <family val="2"/>
      </rPr>
      <t>Pelodytes ibericus</t>
    </r>
    <r>
      <rPr>
        <sz val="10"/>
        <rFont val="Arial"/>
        <family val="2"/>
      </rPr>
      <t xml:space="preserve"> Sánchez-Herráiz, Barbadillo, Machordom &amp; Sanchiz, 2000</t>
    </r>
  </si>
  <si>
    <r>
      <rPr>
        <i/>
        <sz val="10"/>
        <rFont val="Arial"/>
        <family val="2"/>
      </rPr>
      <t>Pelodytes punctatus</t>
    </r>
    <r>
      <rPr>
        <sz val="10"/>
        <rFont val="Arial"/>
        <family val="2"/>
      </rPr>
      <t xml:space="preserve"> (Daudin, 1802)</t>
    </r>
  </si>
  <si>
    <r>
      <rPr>
        <i/>
        <sz val="10"/>
        <rFont val="Arial"/>
        <family val="2"/>
      </rPr>
      <t xml:space="preserve">Pleurodeles waltl </t>
    </r>
    <r>
      <rPr>
        <sz val="10"/>
        <rFont val="Arial"/>
        <family val="2"/>
      </rPr>
      <t>Michahelles, 1830</t>
    </r>
  </si>
  <si>
    <t>Rana dalmatina</t>
  </si>
  <si>
    <r>
      <rPr>
        <i/>
        <sz val="10"/>
        <rFont val="Arial"/>
        <family val="2"/>
      </rPr>
      <t>Rana dalmatina</t>
    </r>
    <r>
      <rPr>
        <sz val="10"/>
        <rFont val="Arial"/>
        <family val="2"/>
      </rPr>
      <t xml:space="preserve"> Bonaparte, 1840</t>
    </r>
  </si>
  <si>
    <t>Rana ágil</t>
  </si>
  <si>
    <t>Rana iberica</t>
  </si>
  <si>
    <r>
      <rPr>
        <i/>
        <sz val="10"/>
        <rFont val="Arial"/>
        <family val="2"/>
      </rPr>
      <t>Rana iberica</t>
    </r>
    <r>
      <rPr>
        <sz val="10"/>
        <rFont val="Arial"/>
        <family val="2"/>
      </rPr>
      <t xml:space="preserve"> Boulenger, 1879</t>
    </r>
  </si>
  <si>
    <t>Rana patilarga</t>
  </si>
  <si>
    <t>Rana pyrenaica</t>
  </si>
  <si>
    <r>
      <rPr>
        <i/>
        <sz val="10"/>
        <rFont val="Arial"/>
        <family val="2"/>
      </rPr>
      <t>Rana pyrenaica</t>
    </r>
    <r>
      <rPr>
        <sz val="10"/>
        <rFont val="Arial"/>
        <family val="2"/>
      </rPr>
      <t xml:space="preserve"> Serra-Cobo, 1993</t>
    </r>
  </si>
  <si>
    <t>Rana pirenaica</t>
  </si>
  <si>
    <t>Rana temporaria</t>
  </si>
  <si>
    <r>
      <rPr>
        <i/>
        <sz val="10"/>
        <rFont val="Arial"/>
        <family val="2"/>
      </rPr>
      <t>Rana temporaria</t>
    </r>
    <r>
      <rPr>
        <sz val="10"/>
        <rFont val="Arial"/>
        <family val="2"/>
      </rPr>
      <t xml:space="preserve"> Linnaeus, 1758</t>
    </r>
  </si>
  <si>
    <t>Rana bermeja</t>
  </si>
  <si>
    <t>Salamandra algira</t>
  </si>
  <si>
    <r>
      <rPr>
        <i/>
        <sz val="10"/>
        <rFont val="Arial"/>
        <family val="2"/>
      </rPr>
      <t>Salamandra algira</t>
    </r>
    <r>
      <rPr>
        <sz val="10"/>
        <rFont val="Arial"/>
        <family val="2"/>
      </rPr>
      <t xml:space="preserve"> Bedriaga 1883</t>
    </r>
  </si>
  <si>
    <t>Salamandra norteafricana</t>
  </si>
  <si>
    <t>Triturus marmoratus</t>
  </si>
  <si>
    <r>
      <rPr>
        <i/>
        <sz val="10"/>
        <rFont val="Arial"/>
        <family val="2"/>
      </rPr>
      <t>Triturus marmoratus</t>
    </r>
    <r>
      <rPr>
        <sz val="10"/>
        <rFont val="Arial"/>
        <family val="2"/>
      </rPr>
      <t xml:space="preserve"> (Latreille, 1800)</t>
    </r>
  </si>
  <si>
    <t>Tritón jaspeado</t>
  </si>
  <si>
    <t>Triturus pygmaeus</t>
  </si>
  <si>
    <r>
      <rPr>
        <i/>
        <sz val="10"/>
        <rFont val="Arial"/>
        <family val="2"/>
      </rPr>
      <t>Triturus pygmaeus</t>
    </r>
    <r>
      <rPr>
        <sz val="10"/>
        <rFont val="Arial"/>
        <family val="2"/>
      </rPr>
      <t xml:space="preserve"> (Wolterstorff, 1905)</t>
    </r>
  </si>
  <si>
    <r>
      <rPr>
        <i/>
        <sz val="10"/>
        <rFont val="Arial"/>
        <family val="2"/>
      </rPr>
      <t>Accipiter gentilis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</si>
  <si>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Accipiter nisus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</si>
  <si>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arundinaceus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</si>
  <si>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melanopogon</t>
    </r>
    <r>
      <rPr>
        <sz val="10"/>
        <rFont val="Arial"/>
        <family val="2"/>
      </rPr>
      <t xml:space="preserve"> (Temminck, 1823)</t>
    </r>
  </si>
  <si>
    <r>
      <rPr>
        <i/>
        <sz val="10"/>
        <rFont val="Arial"/>
        <family val="2"/>
      </rPr>
      <t>Acrocephalus paludicola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</si>
  <si>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Acrocephalus schoenobaenus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</si>
  <si>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Acrocephalus scirpaceus</t>
    </r>
    <r>
      <rPr>
        <sz val="10"/>
        <rFont val="Arial"/>
        <family val="2"/>
      </rPr>
      <t xml:space="preserve"> (Hermann, 1804)</t>
    </r>
  </si>
  <si>
    <r>
      <rPr>
        <i/>
        <sz val="10"/>
        <rFont val="Arial"/>
        <family val="2"/>
      </rPr>
      <t>Actitis hypoleucos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</si>
  <si>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Aegithalos caudatus</t>
    </r>
    <r>
      <rPr>
        <sz val="10"/>
        <rFont val="Arial"/>
        <family val="2"/>
      </rPr>
      <t xml:space="preserve"> (Linnaeus, 1758)</t>
    </r>
  </si>
  <si>
    <t>Aegolius funereus</t>
  </si>
  <si>
    <r>
      <rPr>
        <i/>
        <sz val="10"/>
        <rFont val="Arial"/>
        <family val="2"/>
      </rPr>
      <t>Aegolius funereus</t>
    </r>
    <r>
      <rPr>
        <sz val="10"/>
        <rFont val="Arial"/>
        <family val="2"/>
      </rPr>
      <t xml:space="preserve"> (Linnaeus, 1758)</t>
    </r>
  </si>
  <si>
    <t>Mochuelo boreal</t>
  </si>
  <si>
    <r>
      <rPr>
        <i/>
        <sz val="10"/>
        <rFont val="Arial"/>
        <family val="2"/>
      </rPr>
      <t>Aegypius monachus</t>
    </r>
    <r>
      <rPr>
        <sz val="10"/>
        <rFont val="Arial"/>
        <family val="2"/>
      </rPr>
      <t xml:space="preserve"> (Linnaeus, 1766)</t>
    </r>
  </si>
  <si>
    <t>Alca torda</t>
  </si>
  <si>
    <r>
      <rPr>
        <i/>
        <sz val="10"/>
        <rFont val="Arial"/>
        <family val="2"/>
      </rPr>
      <t xml:space="preserve">Alca torda </t>
    </r>
    <r>
      <rPr>
        <sz val="10"/>
        <rFont val="Arial"/>
        <family val="2"/>
      </rPr>
      <t>Linnaeus, 1758</t>
    </r>
  </si>
  <si>
    <r>
      <rPr>
        <i/>
        <sz val="10"/>
        <rFont val="Arial"/>
        <family val="2"/>
      </rPr>
      <t>Alcedo atthis</t>
    </r>
    <r>
      <rPr>
        <sz val="10"/>
        <rFont val="Arial"/>
        <family val="2"/>
      </rPr>
      <t xml:space="preserve"> (Linnaeus, 1758)</t>
    </r>
  </si>
  <si>
    <t>Anthus berthelotii</t>
  </si>
  <si>
    <r>
      <rPr>
        <i/>
        <sz val="10"/>
        <rFont val="Arial"/>
        <family val="2"/>
      </rPr>
      <t>Anthus berthelotii</t>
    </r>
    <r>
      <rPr>
        <sz val="10"/>
        <rFont val="Arial"/>
        <family val="2"/>
      </rPr>
      <t xml:space="preserve"> Bolle, 1862</t>
    </r>
  </si>
  <si>
    <t>Bisbita caminero</t>
  </si>
  <si>
    <r>
      <rPr>
        <i/>
        <sz val="10"/>
        <rFont val="Arial"/>
        <family val="2"/>
      </rPr>
      <t>Anthus campestris</t>
    </r>
    <r>
      <rPr>
        <sz val="10"/>
        <rFont val="Arial"/>
        <family val="2"/>
      </rPr>
      <t xml:space="preserve"> (Linnaeus, 1758)</t>
    </r>
  </si>
  <si>
    <t>Anthus cervinus</t>
  </si>
  <si>
    <r>
      <rPr>
        <i/>
        <sz val="10"/>
        <rFont val="Arial"/>
        <family val="2"/>
      </rPr>
      <t>Anthus cervinus</t>
    </r>
    <r>
      <rPr>
        <sz val="10"/>
        <rFont val="Arial"/>
        <family val="2"/>
      </rPr>
      <t xml:space="preserve"> (Pallas, 1811)</t>
    </r>
  </si>
  <si>
    <t>Bisbita gorgirrojo</t>
  </si>
  <si>
    <t>Anthus petrosus</t>
  </si>
  <si>
    <r>
      <rPr>
        <i/>
        <sz val="10"/>
        <rFont val="Arial"/>
        <family val="2"/>
      </rPr>
      <t>Anthus petrosus</t>
    </r>
    <r>
      <rPr>
        <sz val="10"/>
        <rFont val="Arial"/>
        <family val="2"/>
      </rPr>
      <t xml:space="preserve"> (Montagu, 1798)</t>
    </r>
  </si>
  <si>
    <t>Bisbita costero</t>
  </si>
  <si>
    <r>
      <rPr>
        <i/>
        <sz val="10"/>
        <rFont val="Arial"/>
        <family val="2"/>
      </rPr>
      <t>Anthus pratensis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</si>
  <si>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Anthus spinoletta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</si>
  <si>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Anthus trivialis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</si>
  <si>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Apus apus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</si>
  <si>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Apus caffer</t>
    </r>
    <r>
      <rPr>
        <sz val="10"/>
        <rFont val="Arial"/>
        <family val="2"/>
      </rPr>
      <t xml:space="preserve"> (Lichtenstein, MHK, 1823)</t>
    </r>
  </si>
  <si>
    <r>
      <rPr>
        <i/>
        <sz val="10"/>
        <rFont val="Arial"/>
        <family val="2"/>
      </rPr>
      <t>Apus pallidus</t>
    </r>
    <r>
      <rPr>
        <sz val="10"/>
        <rFont val="Arial"/>
        <family val="2"/>
      </rPr>
      <t xml:space="preserve"> (Shelley, 1870)</t>
    </r>
  </si>
  <si>
    <t>Apus unicolor</t>
  </si>
  <si>
    <r>
      <rPr>
        <i/>
        <sz val="10"/>
        <rFont val="Arial"/>
        <family val="2"/>
      </rPr>
      <t>Apus unicolor</t>
    </r>
    <r>
      <rPr>
        <sz val="10"/>
        <rFont val="Arial"/>
        <family val="2"/>
      </rPr>
      <t xml:space="preserve"> (Jardine, 1830)</t>
    </r>
  </si>
  <si>
    <t>Vencejo unicolor</t>
  </si>
  <si>
    <t>Aquila adalberti</t>
  </si>
  <si>
    <r>
      <rPr>
        <i/>
        <sz val="10"/>
        <rFont val="Arial"/>
        <family val="2"/>
      </rPr>
      <t>Aquila adalberti</t>
    </r>
    <r>
      <rPr>
        <sz val="10"/>
        <rFont val="Arial"/>
        <family val="2"/>
      </rPr>
      <t xml:space="preserve"> Brehm, CL, 1861</t>
    </r>
  </si>
  <si>
    <r>
      <rPr>
        <i/>
        <sz val="10"/>
        <rFont val="Arial"/>
        <family val="2"/>
      </rPr>
      <t>Aquila chrysaetos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</si>
  <si>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Ardea cinerea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</si>
  <si>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Ardea purpurea</t>
    </r>
    <r>
      <rPr>
        <sz val="10"/>
        <rFont val="Arial"/>
        <family val="2"/>
      </rPr>
      <t xml:space="preserve"> Linnaeus, 1766</t>
    </r>
  </si>
  <si>
    <t>Ardeola ralloides</t>
  </si>
  <si>
    <r>
      <rPr>
        <i/>
        <sz val="10"/>
        <rFont val="Arial"/>
        <family val="2"/>
      </rPr>
      <t>Ardeola ralloides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</si>
  <si>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Arenaria interpres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</si>
  <si>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Asio flammeus</t>
    </r>
    <r>
      <rPr>
        <sz val="10"/>
        <rFont val="Arial"/>
        <family val="2"/>
      </rPr>
      <t xml:space="preserve"> (Pontoppidan, 1763)</t>
    </r>
  </si>
  <si>
    <r>
      <rPr>
        <i/>
        <sz val="10"/>
        <rFont val="Arial"/>
        <family val="2"/>
      </rPr>
      <t>Asio otus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</si>
  <si>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Athene noctua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</si>
  <si>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Aythya marila</t>
    </r>
    <r>
      <rPr>
        <sz val="10"/>
        <rFont val="Arial"/>
        <family val="2"/>
      </rPr>
      <t xml:space="preserve"> (Linnaeus, 1761)</t>
    </r>
  </si>
  <si>
    <t>Aythya nyroca</t>
  </si>
  <si>
    <r>
      <rPr>
        <i/>
        <sz val="10"/>
        <rFont val="Arial"/>
        <family val="2"/>
      </rPr>
      <t>Aythya nyroca</t>
    </r>
    <r>
      <rPr>
        <sz val="10"/>
        <rFont val="Arial"/>
        <family val="2"/>
      </rPr>
      <t xml:space="preserve"> (Güldenstädt, 1770)</t>
    </r>
  </si>
  <si>
    <t>Bonasa bonasia</t>
  </si>
  <si>
    <r>
      <rPr>
        <i/>
        <sz val="10"/>
        <rFont val="Arial"/>
        <family val="2"/>
      </rPr>
      <t>Tetrastes bonasia</t>
    </r>
    <r>
      <rPr>
        <sz val="10"/>
        <rFont val="Arial"/>
        <family val="2"/>
      </rPr>
      <t xml:space="preserve"> (Linnaeus, 1758)</t>
    </r>
  </si>
  <si>
    <t>Grévol</t>
  </si>
  <si>
    <t>Orden AAA/1771/2015</t>
  </si>
  <si>
    <t>Botaurus stellaris</t>
  </si>
  <si>
    <r>
      <rPr>
        <i/>
        <sz val="10"/>
        <rFont val="Arial"/>
        <family val="2"/>
      </rPr>
      <t>Botaurus stellaris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</si>
  <si>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Branta bernicla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</si>
  <si>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Branta leucopsis</t>
    </r>
    <r>
      <rPr>
        <sz val="10"/>
        <rFont val="Arial"/>
        <family val="2"/>
      </rPr>
      <t xml:space="preserve"> (Bechstein, 1803)</t>
    </r>
  </si>
  <si>
    <r>
      <rPr>
        <i/>
        <sz val="10"/>
        <rFont val="Arial"/>
        <family val="2"/>
      </rPr>
      <t>Bubo bubo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</si>
  <si>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Bubulcus ibis </t>
    </r>
    <r>
      <rPr>
        <sz val="10"/>
        <rFont val="Arial"/>
        <family val="2"/>
      </rPr>
      <t>(Linnaeus, 1758)</t>
    </r>
  </si>
  <si>
    <r>
      <rPr>
        <i/>
        <sz val="10"/>
        <rFont val="Arial"/>
        <family val="2"/>
      </rPr>
      <t>Bucanetes githagineus</t>
    </r>
    <r>
      <rPr>
        <sz val="10"/>
        <rFont val="Arial"/>
        <family val="2"/>
      </rPr>
      <t xml:space="preserve"> (Lichtenstein, MHK, 1823)</t>
    </r>
  </si>
  <si>
    <t>Bucephala clangula</t>
  </si>
  <si>
    <r>
      <rPr>
        <i/>
        <sz val="10"/>
        <rFont val="Arial"/>
        <family val="2"/>
      </rPr>
      <t>Bucephala clangula</t>
    </r>
    <r>
      <rPr>
        <sz val="10"/>
        <rFont val="Arial"/>
        <family val="2"/>
      </rPr>
      <t xml:space="preserve"> (Linnaeus, 1758)</t>
    </r>
  </si>
  <si>
    <t>Porrón osculado</t>
  </si>
  <si>
    <t>Bulweria bulwerii</t>
  </si>
  <si>
    <r>
      <rPr>
        <i/>
        <sz val="10"/>
        <rFont val="Arial"/>
        <family val="2"/>
      </rPr>
      <t>Bulweria bulwerii</t>
    </r>
    <r>
      <rPr>
        <sz val="10"/>
        <rFont val="Arial"/>
        <family val="2"/>
      </rPr>
      <t xml:space="preserve"> (Jardine &amp; Selby, 1828)</t>
    </r>
  </si>
  <si>
    <t>Petrel de Bulwer</t>
  </si>
  <si>
    <t>Burhinus oedicnemus distinctus</t>
  </si>
  <si>
    <r>
      <t xml:space="preserve">Burhinus oedicnemus distinctus </t>
    </r>
    <r>
      <rPr>
        <sz val="10"/>
        <rFont val="Arial"/>
        <family val="2"/>
      </rPr>
      <t>(Bannerman, 1914)</t>
    </r>
  </si>
  <si>
    <t>Alcaraván común canario</t>
  </si>
  <si>
    <t>Canarias Centrales y Occidentales</t>
  </si>
  <si>
    <t>Burhinus oedicnemus oedicnemus/insularum</t>
  </si>
  <si>
    <r>
      <rPr>
        <i/>
        <sz val="10"/>
        <rFont val="Arial"/>
        <family val="2"/>
      </rPr>
      <t>Burhinus oedicnemus insularum</t>
    </r>
    <r>
      <rPr>
        <sz val="10"/>
        <rFont val="Arial"/>
        <family val="2"/>
      </rPr>
      <t xml:space="preserve"> (Sassi, 1908)</t>
    </r>
  </si>
  <si>
    <t xml:space="preserve">Alcaraván majorero </t>
  </si>
  <si>
    <t>Canarias Orientales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</si>
  <si>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Burhinus oedicnemus insularum </t>
    </r>
    <r>
      <rPr>
        <u/>
        <sz val="10"/>
        <rFont val="Arial"/>
        <family val="2"/>
      </rPr>
      <t>(Sassi, 1908)</t>
    </r>
    <r>
      <rPr>
        <sz val="10"/>
        <rFont val="Arial"/>
        <family val="2"/>
      </rPr>
      <t xml:space="preserve">
Nombre común actualizado: Alcaraván majorero  
Población referida actualizada: Canarias Orientales</t>
    </r>
  </si>
  <si>
    <r>
      <rPr>
        <i/>
        <sz val="10"/>
        <rFont val="Arial"/>
        <family val="2"/>
      </rPr>
      <t>Burhinus oedicnemus oedicnemus</t>
    </r>
    <r>
      <rPr>
        <sz val="10"/>
        <rFont val="Arial"/>
        <family val="2"/>
      </rPr>
      <t xml:space="preserve"> (Linnaeus, 1758)</t>
    </r>
  </si>
  <si>
    <t xml:space="preserve">Península y Baleares 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</si>
  <si>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Burhinus oedicnemus oedicnemus </t>
    </r>
    <r>
      <rPr>
        <u/>
        <sz val="10"/>
        <rFont val="Arial"/>
        <family val="2"/>
      </rPr>
      <t>(Linnaeus, 1758)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>Nombre común actualizado: Alcaraván común
Población referida actualizada: Península y  Baleares</t>
    </r>
  </si>
  <si>
    <r>
      <rPr>
        <i/>
        <sz val="10"/>
        <rFont val="Arial"/>
        <family val="2"/>
      </rPr>
      <t>Buteo buteo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</si>
  <si>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Calandrella brachydactyla</t>
    </r>
    <r>
      <rPr>
        <sz val="10"/>
        <rFont val="Arial"/>
        <family val="2"/>
      </rPr>
      <t xml:space="preserve"> (Leisler, 1814)</t>
    </r>
  </si>
  <si>
    <r>
      <rPr>
        <i/>
        <sz val="10"/>
        <rFont val="Arial"/>
        <family val="2"/>
      </rPr>
      <t>Alaudala rufescens</t>
    </r>
    <r>
      <rPr>
        <sz val="10"/>
        <rFont val="Arial"/>
        <family val="2"/>
      </rPr>
      <t xml:space="preserve"> (Vieillot, 1819)</t>
    </r>
  </si>
  <si>
    <r>
      <rPr>
        <i/>
        <sz val="10"/>
        <rFont val="Arial"/>
        <family val="2"/>
      </rPr>
      <t>Calidris alba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</si>
  <si>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Calidris alpina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</si>
  <si>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canutus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</si>
  <si>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ferruginea</t>
    </r>
    <r>
      <rPr>
        <sz val="10"/>
        <rFont val="Arial"/>
        <family val="2"/>
      </rPr>
      <t xml:space="preserve"> (Pontoppidan, 1763)</t>
    </r>
  </si>
  <si>
    <r>
      <rPr>
        <i/>
        <sz val="10"/>
        <rFont val="Arial"/>
        <family val="2"/>
      </rPr>
      <t>Calidris maritima</t>
    </r>
    <r>
      <rPr>
        <sz val="10"/>
        <rFont val="Arial"/>
        <family val="2"/>
      </rPr>
      <t xml:space="preserve"> (Brünnich, 1764)</t>
    </r>
  </si>
  <si>
    <r>
      <rPr>
        <i/>
        <sz val="10"/>
        <rFont val="Arial"/>
        <family val="2"/>
      </rPr>
      <t>Calidris minuta</t>
    </r>
    <r>
      <rPr>
        <sz val="10"/>
        <rFont val="Arial"/>
        <family val="2"/>
      </rPr>
      <t xml:space="preserve"> (Leisler, 1812)</t>
    </r>
  </si>
  <si>
    <t>Calonectris diomedea borealis</t>
  </si>
  <si>
    <r>
      <rPr>
        <i/>
        <sz val="10"/>
        <rFont val="Arial"/>
        <family val="2"/>
      </rPr>
      <t xml:space="preserve">Calonectris borealis </t>
    </r>
    <r>
      <rPr>
        <sz val="10"/>
        <rFont val="Arial"/>
        <family val="2"/>
      </rPr>
      <t>(Cory, 1881)</t>
    </r>
  </si>
  <si>
    <t>Pardela cenicienta atlántica</t>
  </si>
  <si>
    <t>Orden TEC/596/2019</t>
  </si>
  <si>
    <r>
      <t xml:space="preserve">LESRPE como </t>
    </r>
    <r>
      <rPr>
        <i/>
        <sz val="10"/>
        <color theme="1"/>
        <rFont val="Arial"/>
        <family val="2"/>
      </rPr>
      <t>Calonectris diomedea borealis</t>
    </r>
    <r>
      <rPr>
        <sz val="10"/>
        <color theme="1"/>
        <rFont val="Arial"/>
        <family val="2"/>
      </rPr>
      <t xml:space="preserve"> (Real Decreto 139/2011)</t>
    </r>
  </si>
  <si>
    <r>
      <rPr>
        <u/>
        <sz val="10"/>
        <rFont val="Arial"/>
        <family val="2"/>
      </rPr>
      <t xml:space="preserve">En Real Decreto 139/2011 como </t>
    </r>
    <r>
      <rPr>
        <i/>
        <u/>
        <sz val="10"/>
        <rFont val="Arial"/>
        <family val="2"/>
      </rPr>
      <t>Calonectris diomedea borealis</t>
    </r>
    <r>
      <rPr>
        <u/>
        <sz val="10"/>
        <rFont val="Arial"/>
        <family val="2"/>
      </rPr>
      <t>:</t>
    </r>
    <r>
      <rPr>
        <sz val="10"/>
        <rFont val="Arial"/>
        <family val="2"/>
      </rPr>
      <t xml:space="preserve">
Nombre común anterior: Pardela cenicienta
Población referida anterior: Atlántico </t>
    </r>
  </si>
  <si>
    <r>
      <rPr>
        <i/>
        <sz val="10"/>
        <rFont val="Arial"/>
        <family val="2"/>
      </rPr>
      <t>Calonectris diomedea diomedea</t>
    </r>
    <r>
      <rPr>
        <sz val="10"/>
        <rFont val="Arial"/>
        <family val="2"/>
      </rPr>
      <t xml:space="preserve"> Scopoli, 1769</t>
    </r>
  </si>
  <si>
    <t>Nombre común actualizado: Pardela cenicienta mediterránea</t>
  </si>
  <si>
    <r>
      <rPr>
        <i/>
        <sz val="10"/>
        <rFont val="Arial"/>
        <family val="2"/>
      </rPr>
      <t>Calidris temminckii</t>
    </r>
    <r>
      <rPr>
        <sz val="10"/>
        <rFont val="Arial"/>
        <family val="2"/>
      </rPr>
      <t xml:space="preserve"> (Leisler, 1812)</t>
    </r>
  </si>
  <si>
    <r>
      <rPr>
        <i/>
        <sz val="10"/>
        <rFont val="Arial"/>
        <family val="2"/>
      </rPr>
      <t>Caprimulgus europaeus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</si>
  <si>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Caprimulgus ruficollis</t>
    </r>
    <r>
      <rPr>
        <sz val="10"/>
        <rFont val="Arial"/>
        <family val="2"/>
      </rPr>
      <t xml:space="preserve"> Temminck, 1820</t>
    </r>
  </si>
  <si>
    <r>
      <rPr>
        <i/>
        <sz val="10"/>
        <rFont val="Arial"/>
        <family val="2"/>
      </rPr>
      <t>Spinus spinus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</si>
  <si>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Cercotrichas galactotes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</si>
  <si>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>Certhia brachydactyla</t>
    </r>
    <r>
      <rPr>
        <sz val="10"/>
        <rFont val="Arial"/>
        <family val="2"/>
      </rPr>
      <t xml:space="preserve"> Brehm, CL, 1820</t>
    </r>
  </si>
  <si>
    <t>Certhia familiaris</t>
  </si>
  <si>
    <r>
      <rPr>
        <i/>
        <sz val="10"/>
        <rFont val="Arial"/>
        <family val="2"/>
      </rPr>
      <t>Certhia familiaris</t>
    </r>
    <r>
      <rPr>
        <sz val="10"/>
        <rFont val="Arial"/>
        <family val="2"/>
      </rPr>
      <t xml:space="preserve"> Linnaeus, 1758</t>
    </r>
  </si>
  <si>
    <t>Agateador norteño</t>
  </si>
  <si>
    <r>
      <rPr>
        <i/>
        <sz val="10"/>
        <rFont val="Arial"/>
        <family val="2"/>
      </rPr>
      <t>Cettia cetti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</si>
  <si>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 xml:space="preserve">Charadrius alexandrinus </t>
    </r>
    <r>
      <rPr>
        <sz val="10"/>
        <rFont val="Arial"/>
        <family val="2"/>
      </rPr>
      <t>Linnaeus, 1758</t>
    </r>
  </si>
  <si>
    <t>Canarias</t>
  </si>
  <si>
    <r>
      <rPr>
        <i/>
        <sz val="10"/>
        <rFont val="Arial"/>
        <family val="2"/>
      </rPr>
      <t>Charadrius dubius</t>
    </r>
    <r>
      <rPr>
        <sz val="10"/>
        <rFont val="Arial"/>
        <family val="2"/>
      </rPr>
      <t xml:space="preserve"> Scopoli, 1786</t>
    </r>
  </si>
  <si>
    <r>
      <rPr>
        <i/>
        <sz val="10"/>
        <rFont val="Arial"/>
        <family val="2"/>
      </rPr>
      <t>Charadrius hiaticula</t>
    </r>
    <r>
      <rPr>
        <sz val="10"/>
        <rFont val="Arial"/>
        <family val="2"/>
      </rPr>
      <t xml:space="preserve"> Linnaeus, 1758</t>
    </r>
  </si>
  <si>
    <t>Charadrius (Eudromias) morinellus</t>
  </si>
  <si>
    <t>Charadrius morinellus Linnaeus, 1758</t>
  </si>
  <si>
    <t>Chersophilus duponti</t>
  </si>
  <si>
    <r>
      <rPr>
        <i/>
        <sz val="10"/>
        <rFont val="Arial"/>
        <family val="2"/>
      </rPr>
      <t>Chersophilus duponti</t>
    </r>
    <r>
      <rPr>
        <sz val="10"/>
        <rFont val="Arial"/>
        <family val="2"/>
      </rPr>
      <t xml:space="preserve"> (Vieillot, 1824)</t>
    </r>
  </si>
  <si>
    <t>Orden TED/339/2023</t>
  </si>
  <si>
    <t>Vulnerable (Real Decreto 139/2011)</t>
  </si>
  <si>
    <t>Chlamydotis undulata</t>
  </si>
  <si>
    <r>
      <rPr>
        <i/>
        <sz val="10"/>
        <rFont val="Arial"/>
        <family val="2"/>
      </rPr>
      <t>Chlamydotis undulata</t>
    </r>
    <r>
      <rPr>
        <sz val="10"/>
        <rFont val="Arial"/>
        <family val="2"/>
      </rPr>
      <t xml:space="preserve"> (Jacquin, 1784)</t>
    </r>
  </si>
  <si>
    <t>Avutarda hubara</t>
  </si>
  <si>
    <r>
      <rPr>
        <i/>
        <sz val="10"/>
        <rFont val="Arial"/>
        <family val="2"/>
      </rPr>
      <t>Chlidonias hybrida</t>
    </r>
    <r>
      <rPr>
        <sz val="10"/>
        <rFont val="Arial"/>
        <family val="2"/>
      </rPr>
      <t xml:space="preserve"> (Pallas, 1811)</t>
    </r>
  </si>
  <si>
    <r>
      <rPr>
        <i/>
        <sz val="10"/>
        <rFont val="Arial"/>
        <family val="2"/>
      </rPr>
      <t>Chlidonias leucopterus</t>
    </r>
    <r>
      <rPr>
        <sz val="10"/>
        <rFont val="Arial"/>
        <family val="2"/>
      </rPr>
      <t xml:space="preserve"> (Temminck, 1815)</t>
    </r>
  </si>
  <si>
    <r>
      <rPr>
        <i/>
        <sz val="10"/>
        <rFont val="Arial"/>
        <family val="2"/>
      </rPr>
      <t>Chlidonias niger</t>
    </r>
    <r>
      <rPr>
        <sz val="10"/>
        <rFont val="Arial"/>
        <family val="2"/>
      </rPr>
      <t xml:space="preserve"> (Linnaeus, 1758)</t>
    </r>
  </si>
  <si>
    <t>Corvus frugilegus Linnaeus, 1758</t>
  </si>
  <si>
    <r>
      <t xml:space="preserve">Corvus frugilegus </t>
    </r>
    <r>
      <rPr>
        <sz val="10"/>
        <rFont val="Arial"/>
        <family val="2"/>
      </rPr>
      <t>Linnaeus, 1758</t>
    </r>
  </si>
  <si>
    <t>Graja</t>
  </si>
  <si>
    <t>Orden TED/452/2025</t>
  </si>
  <si>
    <r>
      <rPr>
        <i/>
        <sz val="10"/>
        <rFont val="Arial"/>
        <family val="2"/>
      </rPr>
      <t>Chroicocephalus genei</t>
    </r>
    <r>
      <rPr>
        <sz val="10"/>
        <rFont val="Arial"/>
        <family val="2"/>
      </rPr>
      <t xml:space="preserve"> (Brème, 1839)</t>
    </r>
  </si>
  <si>
    <r>
      <rPr>
        <i/>
        <sz val="10"/>
        <rFont val="Arial"/>
        <family val="2"/>
      </rPr>
      <t>Ciconia ciconia</t>
    </r>
    <r>
      <rPr>
        <sz val="10"/>
        <rFont val="Arial"/>
        <family val="2"/>
      </rPr>
      <t xml:space="preserve"> (Linnaeus, 1758)</t>
    </r>
  </si>
  <si>
    <t>Ciconia nigra</t>
  </si>
  <si>
    <r>
      <rPr>
        <i/>
        <sz val="10"/>
        <rFont val="Arial"/>
        <family val="2"/>
      </rPr>
      <t>Ciconia nigra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</si>
  <si>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Cinclus cinclus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</si>
  <si>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Circaetus gallicus</t>
    </r>
    <r>
      <rPr>
        <sz val="10"/>
        <rFont val="Arial"/>
        <family val="2"/>
      </rPr>
      <t xml:space="preserve"> (Gmelin, JF, 1788)</t>
    </r>
  </si>
  <si>
    <r>
      <rPr>
        <i/>
        <sz val="10"/>
        <rFont val="Arial"/>
        <family val="2"/>
      </rPr>
      <t>Circus aeruginosus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</si>
  <si>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Circus cyaneus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</si>
  <si>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Circus pygargus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</si>
  <si>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Cisticola juncidis</t>
    </r>
    <r>
      <rPr>
        <sz val="10"/>
        <rFont val="Arial"/>
        <family val="2"/>
      </rPr>
      <t xml:space="preserve"> (Rafinesque, 1810)</t>
    </r>
  </si>
  <si>
    <r>
      <rPr>
        <i/>
        <sz val="10"/>
        <rFont val="Arial"/>
        <family val="2"/>
      </rPr>
      <t>Clamator glandarius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</si>
  <si>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Coccothraustes coccothraustes</t>
    </r>
    <r>
      <rPr>
        <sz val="10"/>
        <rFont val="Arial"/>
        <family val="2"/>
      </rPr>
      <t xml:space="preserve"> (Linnaeus, 1758)</t>
    </r>
  </si>
  <si>
    <t>Columba bollii</t>
  </si>
  <si>
    <r>
      <rPr>
        <i/>
        <sz val="10"/>
        <rFont val="Arial"/>
        <family val="2"/>
      </rPr>
      <t>Columba bollii</t>
    </r>
    <r>
      <rPr>
        <sz val="10"/>
        <rFont val="Arial"/>
        <family val="2"/>
      </rPr>
      <t xml:space="preserve"> Godman, 1872</t>
    </r>
  </si>
  <si>
    <t>Paloma turqué</t>
  </si>
  <si>
    <t>Columba junoniae</t>
  </si>
  <si>
    <r>
      <rPr>
        <i/>
        <sz val="10"/>
        <rFont val="Arial"/>
        <family val="2"/>
      </rPr>
      <t>Columba junoniae</t>
    </r>
    <r>
      <rPr>
        <sz val="10"/>
        <rFont val="Arial"/>
        <family val="2"/>
      </rPr>
      <t xml:space="preserve"> Hartert, 1916</t>
    </r>
  </si>
  <si>
    <t>Paloma rabiche</t>
  </si>
  <si>
    <r>
      <rPr>
        <i/>
        <sz val="10"/>
        <rFont val="Arial"/>
        <family val="2"/>
      </rPr>
      <t>Coracias garrulus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</si>
  <si>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Crex crex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</si>
  <si>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Cuculus canorus</t>
    </r>
    <r>
      <rPr>
        <sz val="10"/>
        <rFont val="Arial"/>
        <family val="2"/>
      </rPr>
      <t xml:space="preserve"> Linnaeus, 1758</t>
    </r>
  </si>
  <si>
    <t>Cursorius cursor</t>
  </si>
  <si>
    <r>
      <rPr>
        <i/>
        <sz val="10"/>
        <rFont val="Arial"/>
        <family val="2"/>
      </rPr>
      <t>Cursorius cursor</t>
    </r>
    <r>
      <rPr>
        <sz val="10"/>
        <rFont val="Arial"/>
        <family val="2"/>
      </rPr>
      <t xml:space="preserve"> (Latham, 1787)</t>
    </r>
  </si>
  <si>
    <t>Engaña</t>
  </si>
  <si>
    <t>Península</t>
  </si>
  <si>
    <t>Cyanistes caeruleus</t>
  </si>
  <si>
    <r>
      <rPr>
        <i/>
        <sz val="10"/>
        <rFont val="Arial"/>
        <family val="2"/>
      </rPr>
      <t>Cyanistes caeruleus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</si>
  <si>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Cyanopica cooki </t>
    </r>
    <r>
      <rPr>
        <sz val="10"/>
        <rFont val="Arial"/>
        <family val="2"/>
      </rPr>
      <t>Bonaparte, 1850</t>
    </r>
  </si>
  <si>
    <r>
      <rPr>
        <i/>
        <sz val="10"/>
        <rFont val="Arial"/>
        <family val="2"/>
      </rPr>
      <t>Delichon urbicum</t>
    </r>
    <r>
      <rPr>
        <sz val="10"/>
        <rFont val="Arial"/>
        <family val="2"/>
      </rPr>
      <t xml:space="preserve"> (Linnaeus, 1758)</t>
    </r>
  </si>
  <si>
    <t>Dendrocopos leucotos</t>
  </si>
  <si>
    <r>
      <rPr>
        <i/>
        <sz val="10"/>
        <rFont val="Arial"/>
        <family val="2"/>
      </rPr>
      <t>Dendrocopos leucotos</t>
    </r>
    <r>
      <rPr>
        <sz val="10"/>
        <rFont val="Arial"/>
        <family val="2"/>
      </rPr>
      <t xml:space="preserve"> (Bechstein, 1802)</t>
    </r>
  </si>
  <si>
    <t>Pico dorsiblanco</t>
  </si>
  <si>
    <r>
      <rPr>
        <i/>
        <sz val="10"/>
        <rFont val="Arial"/>
        <family val="2"/>
      </rPr>
      <t>Dendrocopos major</t>
    </r>
    <r>
      <rPr>
        <sz val="10"/>
        <rFont val="Arial"/>
        <family val="2"/>
      </rPr>
      <t xml:space="preserve"> (Linnaeus, 1758)</t>
    </r>
  </si>
  <si>
    <t>Dendrocopos medius</t>
  </si>
  <si>
    <r>
      <rPr>
        <i/>
        <sz val="10"/>
        <rFont val="Arial"/>
        <family val="2"/>
      </rPr>
      <t>Dendrocoptes medius</t>
    </r>
    <r>
      <rPr>
        <sz val="10"/>
        <rFont val="Arial"/>
        <family val="2"/>
      </rPr>
      <t> (Linnaeus, 1758)</t>
    </r>
  </si>
  <si>
    <t>Pico mediano</t>
  </si>
  <si>
    <r>
      <rPr>
        <i/>
        <sz val="10"/>
        <rFont val="Arial"/>
        <family val="2"/>
      </rPr>
      <t>Dryobates minor</t>
    </r>
    <r>
      <rPr>
        <sz val="10"/>
        <rFont val="Arial"/>
        <family val="2"/>
      </rPr>
      <t xml:space="preserve"> (Linnaeus, 1758)</t>
    </r>
  </si>
  <si>
    <t>Dryocopus martius</t>
  </si>
  <si>
    <r>
      <rPr>
        <i/>
        <sz val="10"/>
        <rFont val="Arial"/>
        <family val="2"/>
      </rPr>
      <t>Dryocopus martius</t>
    </r>
    <r>
      <rPr>
        <sz val="10"/>
        <rFont val="Arial"/>
        <family val="2"/>
      </rPr>
      <t xml:space="preserve"> (Linnaeus, 1758)</t>
    </r>
  </si>
  <si>
    <t>Pito negro</t>
  </si>
  <si>
    <r>
      <rPr>
        <i/>
        <sz val="10"/>
        <rFont val="Arial"/>
        <family val="2"/>
      </rPr>
      <t>Ardea alba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</si>
  <si>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Egretta garzetta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</si>
  <si>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Elanus caeruleus</t>
    </r>
    <r>
      <rPr>
        <sz val="10"/>
        <rFont val="Arial"/>
        <family val="2"/>
      </rPr>
      <t xml:space="preserve"> (Desfontaines, 1789)</t>
    </r>
  </si>
  <si>
    <r>
      <rPr>
        <i/>
        <sz val="10"/>
        <rFont val="Arial"/>
        <family val="2"/>
      </rPr>
      <t>Emberiza cia</t>
    </r>
    <r>
      <rPr>
        <sz val="10"/>
        <rFont val="Arial"/>
        <family val="2"/>
      </rPr>
      <t xml:space="preserve"> Linnaeus, 1766</t>
    </r>
  </si>
  <si>
    <r>
      <rPr>
        <i/>
        <sz val="10"/>
        <rFont val="Arial"/>
        <family val="2"/>
      </rPr>
      <t>Emberiza cirlus</t>
    </r>
    <r>
      <rPr>
        <sz val="10"/>
        <rFont val="Arial"/>
        <family val="2"/>
      </rPr>
      <t xml:space="preserve"> Linnaeus, 1766</t>
    </r>
  </si>
  <si>
    <t>Emberiza citrinella</t>
  </si>
  <si>
    <r>
      <rPr>
        <i/>
        <sz val="10"/>
        <rFont val="Arial"/>
        <family val="2"/>
      </rPr>
      <t>Emberiza citrinella</t>
    </r>
    <r>
      <rPr>
        <sz val="10"/>
        <rFont val="Arial"/>
        <family val="2"/>
      </rPr>
      <t xml:space="preserve"> Linnaeus, 1758</t>
    </r>
  </si>
  <si>
    <t>Escribano cerillo</t>
  </si>
  <si>
    <r>
      <rPr>
        <i/>
        <sz val="10"/>
        <rFont val="Arial"/>
        <family val="2"/>
      </rPr>
      <t>Emberiza hortulana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</si>
  <si>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Emberiza schoeniclus schoeniclus</t>
    </r>
    <r>
      <rPr>
        <sz val="10"/>
        <rFont val="Arial"/>
        <family val="2"/>
      </rPr>
      <t xml:space="preserve"> (Linnaeus, 1758)</t>
    </r>
  </si>
  <si>
    <t>Nombre común actualizado: Escribano palustre norteño</t>
  </si>
  <si>
    <t>Emberiza schoeniclus whiterby/lusitanica</t>
  </si>
  <si>
    <r>
      <rPr>
        <i/>
        <sz val="10"/>
        <rFont val="Arial"/>
        <family val="2"/>
      </rPr>
      <t>Emberiza schoeniclus lusitanica</t>
    </r>
    <r>
      <rPr>
        <sz val="10"/>
        <rFont val="Arial"/>
        <family val="2"/>
      </rPr>
      <t> Steinbacher, 1930 </t>
    </r>
  </si>
  <si>
    <t>Escribano palustre norteño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</si>
  <si>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Emberiza schoeniclus lusitanica </t>
    </r>
    <r>
      <rPr>
        <u/>
        <sz val="10"/>
        <rFont val="Arial"/>
        <family val="2"/>
      </rPr>
      <t>Steinbacher, 1930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Nombre común actualizado: Escribano palustre iberooccidental </t>
    </r>
  </si>
  <si>
    <r>
      <rPr>
        <i/>
        <sz val="10"/>
        <rFont val="Arial"/>
        <family val="2"/>
      </rPr>
      <t>Emberiza schoeniclus witherbyi</t>
    </r>
    <r>
      <rPr>
        <sz val="10"/>
        <rFont val="Arial"/>
        <family val="2"/>
      </rPr>
      <t> von Jordans, 1923 </t>
    </r>
  </si>
  <si>
    <t>Escribano palustre iberooccidental</t>
  </si>
  <si>
    <r>
      <rPr>
        <u/>
        <sz val="10"/>
        <rFont val="Arial"/>
        <family val="2"/>
      </rPr>
      <t xml:space="preserve">Nombre científico actualizado: </t>
    </r>
    <r>
      <rPr>
        <i/>
        <u/>
        <sz val="10"/>
        <rFont val="Arial"/>
        <family val="2"/>
      </rPr>
      <t xml:space="preserve">Emberiza schoeniclus whiterby </t>
    </r>
    <r>
      <rPr>
        <u/>
        <sz val="10"/>
        <rFont val="Arial"/>
        <family val="2"/>
      </rPr>
      <t>von Jordans, 1923</t>
    </r>
    <r>
      <rPr>
        <sz val="10"/>
        <rFont val="Arial"/>
        <family val="2"/>
      </rPr>
      <t> </t>
    </r>
    <r>
      <rPr>
        <i/>
        <sz val="10"/>
        <rFont val="Arial"/>
        <family val="2"/>
      </rPr>
      <t xml:space="preserve">
</t>
    </r>
    <r>
      <rPr>
        <sz val="10"/>
        <rFont val="Arial"/>
        <family val="2"/>
      </rPr>
      <t>Nombre común actualizado: Escribano palustre iberooriental</t>
    </r>
  </si>
  <si>
    <r>
      <rPr>
        <i/>
        <sz val="10"/>
        <rFont val="Arial"/>
        <family val="2"/>
      </rPr>
      <t>Erithacus rubecula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</si>
  <si>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Falco columbarius</t>
    </r>
    <r>
      <rPr>
        <sz val="10"/>
        <rFont val="Arial"/>
        <family val="2"/>
      </rPr>
      <t xml:space="preserve"> Linnaeus, 1758</t>
    </r>
  </si>
  <si>
    <t>Falco eleonorae</t>
  </si>
  <si>
    <r>
      <rPr>
        <i/>
        <sz val="10"/>
        <rFont val="Arial"/>
        <family val="2"/>
      </rPr>
      <t>Falco eleonorae</t>
    </r>
    <r>
      <rPr>
        <sz val="10"/>
        <rFont val="Arial"/>
        <family val="2"/>
      </rPr>
      <t xml:space="preserve"> Géné, 1839</t>
    </r>
  </si>
  <si>
    <t>Halcón de Eleonora</t>
  </si>
  <si>
    <r>
      <rPr>
        <i/>
        <sz val="10"/>
        <rFont val="Arial"/>
        <family val="2"/>
      </rPr>
      <t>Falco naumanni</t>
    </r>
    <r>
      <rPr>
        <sz val="10"/>
        <rFont val="Arial"/>
        <family val="2"/>
      </rPr>
      <t xml:space="preserve"> Fleischer, JG, 1818</t>
    </r>
  </si>
  <si>
    <r>
      <rPr>
        <i/>
        <sz val="10"/>
        <rFont val="Arial"/>
        <family val="2"/>
      </rPr>
      <t xml:space="preserve">Falco peregrinus </t>
    </r>
    <r>
      <rPr>
        <sz val="10"/>
        <rFont val="Arial"/>
        <family val="2"/>
      </rPr>
      <t>Tunstall, 1771</t>
    </r>
  </si>
  <si>
    <t>Falco pelegrinoides</t>
  </si>
  <si>
    <r>
      <rPr>
        <i/>
        <sz val="10"/>
        <rFont val="Arial"/>
        <family val="2"/>
      </rPr>
      <t>Falco peregrinus pelegrinoides</t>
    </r>
    <r>
      <rPr>
        <sz val="10"/>
        <rFont val="Arial"/>
        <family val="2"/>
      </rPr>
      <t xml:space="preserve"> Temminck, 1829</t>
    </r>
  </si>
  <si>
    <t>Halcón tagarote</t>
  </si>
  <si>
    <r>
      <t xml:space="preserve">En peligro de extinción como </t>
    </r>
    <r>
      <rPr>
        <i/>
        <sz val="10"/>
        <rFont val="Arial"/>
        <family val="2"/>
      </rPr>
      <t xml:space="preserve">Falco pelegrinoides </t>
    </r>
    <r>
      <rPr>
        <sz val="10"/>
        <rFont val="Arial"/>
        <family val="2"/>
      </rPr>
      <t>(Real Decreto 139/2011)</t>
    </r>
  </si>
  <si>
    <r>
      <rPr>
        <i/>
        <sz val="10"/>
        <rFont val="Arial"/>
        <family val="2"/>
      </rPr>
      <t>Falco subbuteo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</si>
  <si>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Falco tinnunculus</t>
    </r>
    <r>
      <rPr>
        <sz val="10"/>
        <rFont val="Arial"/>
        <family val="2"/>
      </rPr>
      <t xml:space="preserve"> Linnaeus, 1758</t>
    </r>
  </si>
  <si>
    <t>Falco vespertinus</t>
  </si>
  <si>
    <r>
      <rPr>
        <i/>
        <sz val="10"/>
        <rFont val="Arial"/>
        <family val="2"/>
      </rPr>
      <t>Falco vespertinus</t>
    </r>
    <r>
      <rPr>
        <sz val="10"/>
        <rFont val="Arial"/>
        <family val="2"/>
      </rPr>
      <t xml:space="preserve"> Linnaeus, 1766</t>
    </r>
  </si>
  <si>
    <t>Cernícalo patirrojo</t>
  </si>
  <si>
    <r>
      <rPr>
        <i/>
        <sz val="10"/>
        <rFont val="Arial"/>
        <family val="2"/>
      </rPr>
      <t>Ficedula hypoleuca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</si>
  <si>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Fratercula arctica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</si>
  <si>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Fringilla coelebs</t>
    </r>
    <r>
      <rPr>
        <sz val="10"/>
        <rFont val="Arial"/>
        <family val="2"/>
      </rPr>
      <t xml:space="preserve"> Linnaeus, 1758</t>
    </r>
  </si>
  <si>
    <t>Fringilla montifringilla</t>
  </si>
  <si>
    <r>
      <rPr>
        <i/>
        <sz val="10"/>
        <rFont val="Arial"/>
        <family val="2"/>
      </rPr>
      <t>Fringilla montifringilla</t>
    </r>
    <r>
      <rPr>
        <sz val="10"/>
        <rFont val="Arial"/>
        <family val="2"/>
      </rPr>
      <t xml:space="preserve"> Linnaeus, 1758</t>
    </r>
  </si>
  <si>
    <t>Fringilla teydea polatzeki</t>
  </si>
  <si>
    <r>
      <rPr>
        <i/>
        <sz val="10"/>
        <rFont val="Arial"/>
        <family val="2"/>
      </rPr>
      <t>Fringilla polatzeki</t>
    </r>
    <r>
      <rPr>
        <sz val="10"/>
        <rFont val="Arial"/>
        <family val="2"/>
      </rPr>
      <t xml:space="preserve"> Hartert, 1905</t>
    </r>
  </si>
  <si>
    <t>Pinzón azul de Gran Canaria</t>
  </si>
  <si>
    <t>Fringilla teydea teydea</t>
  </si>
  <si>
    <r>
      <rPr>
        <i/>
        <sz val="10"/>
        <color theme="1"/>
        <rFont val="Arial"/>
        <family val="2"/>
      </rPr>
      <t>Fringilla teydea</t>
    </r>
    <r>
      <rPr>
        <sz val="10"/>
        <color theme="1"/>
        <rFont val="Arial"/>
        <family val="2"/>
      </rPr>
      <t xml:space="preserve"> Webb, Berthelot &amp; Moquin-Tandon, 1842</t>
    </r>
  </si>
  <si>
    <t>Pinzón azul de Tenerife</t>
  </si>
  <si>
    <r>
      <rPr>
        <i/>
        <sz val="10"/>
        <rFont val="Arial"/>
        <family val="2"/>
      </rPr>
      <t>Fulica cristata</t>
    </r>
    <r>
      <rPr>
        <sz val="10"/>
        <rFont val="Arial"/>
        <family val="2"/>
      </rPr>
      <t xml:space="preserve"> Gmelin, JF, 1789</t>
    </r>
  </si>
  <si>
    <t>Fulmarus glacialis</t>
  </si>
  <si>
    <r>
      <rPr>
        <i/>
        <sz val="10"/>
        <rFont val="Arial"/>
        <family val="2"/>
      </rPr>
      <t>Fulmarus glacialis</t>
    </r>
    <r>
      <rPr>
        <sz val="10"/>
        <rFont val="Arial"/>
        <family val="2"/>
      </rPr>
      <t xml:space="preserve"> (Linnaeus, 1761)</t>
    </r>
  </si>
  <si>
    <t>Fulmar boreal</t>
  </si>
  <si>
    <r>
      <rPr>
        <i/>
        <sz val="10"/>
        <rFont val="Arial"/>
        <family val="2"/>
      </rPr>
      <t>Galerida cristata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</si>
  <si>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Galerida theklae</t>
    </r>
    <r>
      <rPr>
        <sz val="10"/>
        <rFont val="Arial"/>
        <family val="2"/>
      </rPr>
      <t xml:space="preserve"> Brehm, AE, 1857</t>
    </r>
  </si>
  <si>
    <t>Gavia arctica</t>
  </si>
  <si>
    <r>
      <rPr>
        <i/>
        <sz val="10"/>
        <rFont val="Arial"/>
        <family val="2"/>
      </rPr>
      <t>Gavia arctica</t>
    </r>
    <r>
      <rPr>
        <sz val="10"/>
        <rFont val="Arial"/>
        <family val="2"/>
      </rPr>
      <t xml:space="preserve"> (Linnaeus, 1758)</t>
    </r>
  </si>
  <si>
    <t>Colimbo ártico</t>
  </si>
  <si>
    <r>
      <rPr>
        <i/>
        <sz val="10"/>
        <rFont val="Arial"/>
        <family val="2"/>
      </rPr>
      <t>Gavia immer</t>
    </r>
    <r>
      <rPr>
        <sz val="10"/>
        <rFont val="Arial"/>
        <family val="2"/>
      </rPr>
      <t xml:space="preserve"> (Brünnich, 1764)</t>
    </r>
  </si>
  <si>
    <r>
      <rPr>
        <i/>
        <sz val="10"/>
        <rFont val="Arial"/>
        <family val="2"/>
      </rPr>
      <t>Gavia stellata</t>
    </r>
    <r>
      <rPr>
        <sz val="10"/>
        <rFont val="Arial"/>
        <family val="2"/>
      </rPr>
      <t xml:space="preserve"> (Pontoppidan, 1763)</t>
    </r>
  </si>
  <si>
    <t>Gelochelidon nilotica</t>
  </si>
  <si>
    <r>
      <rPr>
        <i/>
        <sz val="10"/>
        <rFont val="Arial"/>
        <family val="2"/>
      </rPr>
      <t>Gelochelidon nilotica</t>
    </r>
    <r>
      <rPr>
        <sz val="10"/>
        <rFont val="Arial"/>
        <family val="2"/>
      </rPr>
      <t xml:space="preserve"> (Gmelin, 1789)</t>
    </r>
  </si>
  <si>
    <t>Geronticus eremita</t>
  </si>
  <si>
    <r>
      <rPr>
        <i/>
        <sz val="10"/>
        <rFont val="Arial"/>
        <family val="2"/>
      </rPr>
      <t>Geronticus eremita</t>
    </r>
    <r>
      <rPr>
        <sz val="10"/>
        <rFont val="Arial"/>
        <family val="2"/>
      </rPr>
      <t xml:space="preserve"> (Linnaeus, 1758)</t>
    </r>
  </si>
  <si>
    <t>Ibis eremita</t>
  </si>
  <si>
    <r>
      <rPr>
        <i/>
        <sz val="10"/>
        <rFont val="Arial"/>
        <family val="2"/>
      </rPr>
      <t>Glareola pratincola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</si>
  <si>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 xml:space="preserve">Grus grus </t>
    </r>
    <r>
      <rPr>
        <sz val="10"/>
        <rFont val="Arial"/>
        <family val="2"/>
      </rPr>
      <t>(Linnaeus, 1758)</t>
    </r>
  </si>
  <si>
    <r>
      <rPr>
        <i/>
        <sz val="10"/>
        <rFont val="Arial"/>
        <family val="2"/>
      </rPr>
      <t>Gypaetus barbatus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</si>
  <si>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Gyps fulvus</t>
    </r>
    <r>
      <rPr>
        <sz val="10"/>
        <rFont val="Arial"/>
        <family val="2"/>
      </rPr>
      <t xml:space="preserve"> (Hablizl, 1783)</t>
    </r>
  </si>
  <si>
    <r>
      <rPr>
        <i/>
        <sz val="10"/>
        <rFont val="Arial"/>
        <family val="2"/>
      </rPr>
      <t>Haematopus ostralegus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</si>
  <si>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 xml:space="preserve">Aquila fasciata </t>
    </r>
    <r>
      <rPr>
        <sz val="10"/>
        <rFont val="Arial"/>
        <family val="2"/>
      </rPr>
      <t>Vieillot, 1822</t>
    </r>
  </si>
  <si>
    <r>
      <rPr>
        <i/>
        <sz val="10"/>
        <rFont val="Arial"/>
        <family val="2"/>
      </rPr>
      <t>Hieraaetus pennatus</t>
    </r>
    <r>
      <rPr>
        <sz val="10"/>
        <rFont val="Arial"/>
        <family val="2"/>
      </rPr>
      <t xml:space="preserve"> (Gmelin, JF, 1788)</t>
    </r>
  </si>
  <si>
    <r>
      <rPr>
        <i/>
        <sz val="10"/>
        <rFont val="Arial"/>
        <family val="2"/>
      </rPr>
      <t>Himantopus himantopus</t>
    </r>
    <r>
      <rPr>
        <sz val="10"/>
        <rFont val="Arial"/>
        <family val="2"/>
      </rPr>
      <t xml:space="preserve"> (Linnaeus, 1758)</t>
    </r>
  </si>
  <si>
    <t>Hippolais icterina</t>
  </si>
  <si>
    <r>
      <rPr>
        <i/>
        <sz val="10"/>
        <rFont val="Arial"/>
        <family val="2"/>
      </rPr>
      <t>Hippolais icterina</t>
    </r>
    <r>
      <rPr>
        <sz val="10"/>
        <rFont val="Arial"/>
        <family val="2"/>
      </rPr>
      <t xml:space="preserve"> (Vieillot, 1817)</t>
    </r>
  </si>
  <si>
    <t>Zarcero icterino</t>
  </si>
  <si>
    <r>
      <rPr>
        <i/>
        <sz val="10"/>
        <rFont val="Arial"/>
        <family val="2"/>
      </rPr>
      <t>Iduna pallida</t>
    </r>
    <r>
      <rPr>
        <sz val="10"/>
        <rFont val="Arial"/>
        <family val="2"/>
      </rPr>
      <t xml:space="preserve"> (Hemprich &amp; Ehrenberg, 1833)</t>
    </r>
  </si>
  <si>
    <r>
      <rPr>
        <i/>
        <sz val="10"/>
        <rFont val="Arial"/>
        <family val="2"/>
      </rPr>
      <t>Hippolais polyglotta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</si>
  <si>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Cecropis daurica</t>
    </r>
    <r>
      <rPr>
        <sz val="10"/>
        <rFont val="Arial"/>
        <family val="2"/>
      </rPr>
      <t xml:space="preserve"> (Laxmann, 1769)</t>
    </r>
  </si>
  <si>
    <r>
      <rPr>
        <i/>
        <sz val="10"/>
        <rFont val="Arial"/>
        <family val="2"/>
      </rPr>
      <t>Hirundo rustica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</si>
  <si>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Hydrobates pelagicus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</si>
  <si>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Ixobrychus minutus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</si>
  <si>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Jynx torquilla</t>
    </r>
    <r>
      <rPr>
        <sz val="10"/>
        <rFont val="Arial"/>
        <family val="2"/>
      </rPr>
      <t xml:space="preserve"> Linnaeus, 1758</t>
    </r>
  </si>
  <si>
    <t>Lagopus muta</t>
  </si>
  <si>
    <r>
      <rPr>
        <i/>
        <sz val="10"/>
        <rFont val="Arial"/>
        <family val="2"/>
      </rPr>
      <t>Lagopus muta</t>
    </r>
    <r>
      <rPr>
        <sz val="10"/>
        <rFont val="Arial"/>
        <family val="2"/>
      </rPr>
      <t xml:space="preserve"> (Montin, 1781)</t>
    </r>
  </si>
  <si>
    <t>Lagópodo alpino</t>
  </si>
  <si>
    <t>Lanius collurio</t>
  </si>
  <si>
    <r>
      <rPr>
        <i/>
        <sz val="10"/>
        <rFont val="Arial"/>
        <family val="2"/>
      </rPr>
      <t>Lanius collurio</t>
    </r>
    <r>
      <rPr>
        <sz val="10"/>
        <rFont val="Arial"/>
        <family val="2"/>
      </rPr>
      <t xml:space="preserve"> Linnaeus, 1758</t>
    </r>
  </si>
  <si>
    <t>Alcaudón dorsirrojo</t>
  </si>
  <si>
    <t>Lanius meridionalis</t>
  </si>
  <si>
    <r>
      <rPr>
        <i/>
        <sz val="10"/>
        <rFont val="Arial"/>
        <family val="2"/>
      </rPr>
      <t>Lanius meridionalis</t>
    </r>
    <r>
      <rPr>
        <sz val="10"/>
        <rFont val="Arial"/>
        <family val="2"/>
      </rPr>
      <t xml:space="preserve"> Temminck, 1820</t>
    </r>
  </si>
  <si>
    <t>Lanius minor</t>
  </si>
  <si>
    <r>
      <rPr>
        <i/>
        <sz val="10"/>
        <rFont val="Arial"/>
        <family val="2"/>
      </rPr>
      <t>Lanius minor</t>
    </r>
    <r>
      <rPr>
        <sz val="10"/>
        <rFont val="Arial"/>
        <family val="2"/>
      </rPr>
      <t xml:space="preserve"> Gmelin, JF, 1788</t>
    </r>
  </si>
  <si>
    <t>Alcaudón chico</t>
  </si>
  <si>
    <r>
      <rPr>
        <i/>
        <sz val="10"/>
        <rFont val="Arial"/>
        <family val="2"/>
      </rPr>
      <t>Lanius senator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</si>
  <si>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audouinii</t>
    </r>
    <r>
      <rPr>
        <sz val="10"/>
        <rFont val="Arial"/>
        <family val="2"/>
      </rPr>
      <t xml:space="preserve"> Payraudeau, 1826</t>
    </r>
  </si>
  <si>
    <r>
      <rPr>
        <i/>
        <sz val="10"/>
        <rFont val="Arial"/>
        <family val="2"/>
      </rPr>
      <t>Larus canus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</si>
  <si>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marinus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</si>
  <si>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Larus melanocephalus</t>
    </r>
    <r>
      <rPr>
        <sz val="10"/>
        <rFont val="Arial"/>
        <family val="2"/>
      </rPr>
      <t xml:space="preserve"> Temminck, 1820</t>
    </r>
  </si>
  <si>
    <r>
      <rPr>
        <i/>
        <sz val="10"/>
        <rFont val="Arial"/>
        <family val="2"/>
      </rPr>
      <t>Hydrocoloeus minutus</t>
    </r>
    <r>
      <rPr>
        <sz val="10"/>
        <rFont val="Arial"/>
        <family val="2"/>
      </rPr>
      <t xml:space="preserve"> (Pallas, 1776)</t>
    </r>
  </si>
  <si>
    <r>
      <rPr>
        <i/>
        <sz val="10"/>
        <rFont val="Arial"/>
        <family val="2"/>
      </rPr>
      <t>Limosa lapponica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</si>
  <si>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Limosa limosa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</si>
  <si>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Locustella luscinioides</t>
    </r>
    <r>
      <rPr>
        <sz val="10"/>
        <rFont val="Arial"/>
        <family val="2"/>
      </rPr>
      <t xml:space="preserve"> (Savi, 1824)</t>
    </r>
  </si>
  <si>
    <r>
      <rPr>
        <i/>
        <sz val="10"/>
        <rFont val="Arial"/>
        <family val="2"/>
      </rPr>
      <t>Locustella naevia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</si>
  <si>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Lophophanes cristatus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</si>
  <si>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Loxia curvirostra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</si>
  <si>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Lullula arborea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</si>
  <si>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Luscinia megarhynchos</t>
    </r>
    <r>
      <rPr>
        <sz val="10"/>
        <rFont val="Arial"/>
        <family val="2"/>
      </rPr>
      <t xml:space="preserve"> Brehm, CL, 1831</t>
    </r>
  </si>
  <si>
    <r>
      <rPr>
        <i/>
        <sz val="10"/>
        <rFont val="Arial"/>
        <family val="2"/>
      </rPr>
      <t>Luscinia svecica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</si>
  <si>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Marmaronetta angustirostris</t>
    </r>
    <r>
      <rPr>
        <sz val="10"/>
        <rFont val="Arial"/>
        <family val="2"/>
      </rPr>
      <t xml:space="preserve"> (Ménétries, 1832)</t>
    </r>
  </si>
  <si>
    <r>
      <rPr>
        <i/>
        <sz val="10"/>
        <rFont val="Arial"/>
        <family val="2"/>
      </rPr>
      <t>Melanocorypha calandra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</si>
  <si>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Merops apiaster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</si>
  <si>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Milvus migrans</t>
    </r>
    <r>
      <rPr>
        <sz val="10"/>
        <rFont val="Arial"/>
        <family val="2"/>
      </rPr>
      <t xml:space="preserve"> (Boddaert, 1783)</t>
    </r>
  </si>
  <si>
    <t>Milvus milvus</t>
  </si>
  <si>
    <r>
      <rPr>
        <i/>
        <sz val="10"/>
        <rFont val="Arial"/>
        <family val="2"/>
      </rPr>
      <t>Milvus milvus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</si>
  <si>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Monticola saxatilis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</si>
  <si>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Monticola solitarius</t>
    </r>
    <r>
      <rPr>
        <sz val="10"/>
        <rFont val="Arial"/>
        <family val="2"/>
      </rPr>
      <t xml:space="preserve"> (Linnaeus, 1758)</t>
    </r>
  </si>
  <si>
    <t>Montifringilla nivalis</t>
  </si>
  <si>
    <r>
      <rPr>
        <i/>
        <sz val="10"/>
        <rFont val="Arial"/>
        <family val="2"/>
      </rPr>
      <t>Montifringilla nivalis</t>
    </r>
    <r>
      <rPr>
        <sz val="10"/>
        <rFont val="Arial"/>
        <family val="2"/>
      </rPr>
      <t xml:space="preserve"> (Linnaeus, 1766)</t>
    </r>
  </si>
  <si>
    <t>Gorrión alpino</t>
  </si>
  <si>
    <r>
      <rPr>
        <i/>
        <sz val="10"/>
        <rFont val="Arial"/>
        <family val="2"/>
      </rPr>
      <t>Morus bassanus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</si>
  <si>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Motacilla alba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</si>
  <si>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Motacilla cinerea</t>
    </r>
    <r>
      <rPr>
        <sz val="10"/>
        <rFont val="Arial"/>
        <family val="2"/>
      </rPr>
      <t xml:space="preserve"> Tunstall, 1771</t>
    </r>
  </si>
  <si>
    <r>
      <rPr>
        <i/>
        <sz val="10"/>
        <rFont val="Arial"/>
        <family val="2"/>
      </rPr>
      <t>Motacilla flava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</si>
  <si>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Muscicapa striata</t>
    </r>
    <r>
      <rPr>
        <sz val="10"/>
        <rFont val="Arial"/>
        <family val="2"/>
      </rPr>
      <t xml:space="preserve"> (Pallas, 1764)</t>
    </r>
  </si>
  <si>
    <t>Neophron percnopterus</t>
  </si>
  <si>
    <r>
      <rPr>
        <i/>
        <sz val="10"/>
        <rFont val="Arial"/>
        <family val="2"/>
      </rPr>
      <t>Neophron percnopterus</t>
    </r>
    <r>
      <rPr>
        <sz val="10"/>
        <rFont val="Arial"/>
        <family val="2"/>
      </rPr>
      <t xml:space="preserve"> (Linnaeus, 1758)</t>
    </r>
  </si>
  <si>
    <t>Neophron percnopterus majorensis</t>
  </si>
  <si>
    <r>
      <rPr>
        <i/>
        <sz val="10"/>
        <color theme="1"/>
        <rFont val="Arial"/>
        <family val="2"/>
      </rPr>
      <t>Neophron percnopterus majorensis</t>
    </r>
    <r>
      <rPr>
        <sz val="10"/>
        <color theme="1"/>
        <rFont val="Arial"/>
        <family val="2"/>
      </rPr>
      <t xml:space="preserve"> Donázar, Negro, Palacios, Gangoso, Godoy, Ceballos, Hiraldo &amp; Capote, 2002</t>
    </r>
  </si>
  <si>
    <t>Alimoche canario</t>
  </si>
  <si>
    <r>
      <rPr>
        <i/>
        <sz val="10"/>
        <rFont val="Arial"/>
        <family val="2"/>
      </rPr>
      <t>Numenius arquata</t>
    </r>
    <r>
      <rPr>
        <sz val="10"/>
        <rFont val="Arial"/>
        <family val="2"/>
      </rPr>
      <t xml:space="preserve"> (Linnaeus, 1758)</t>
    </r>
  </si>
  <si>
    <t>Excepto Galicia</t>
  </si>
  <si>
    <t>Galicia</t>
  </si>
  <si>
    <t>Numenius phaeopus</t>
  </si>
  <si>
    <r>
      <rPr>
        <i/>
        <sz val="10"/>
        <rFont val="Arial"/>
        <family val="2"/>
      </rPr>
      <t>Numenius phaeopus</t>
    </r>
    <r>
      <rPr>
        <sz val="10"/>
        <rFont val="Arial"/>
        <family val="2"/>
      </rPr>
      <t xml:space="preserve"> (Linnaeus, 1758)</t>
    </r>
  </si>
  <si>
    <t>Numenius tenuirostris</t>
  </si>
  <si>
    <r>
      <rPr>
        <i/>
        <sz val="10"/>
        <rFont val="Arial"/>
        <family val="2"/>
      </rPr>
      <t>Numenius tenuirostris</t>
    </r>
    <r>
      <rPr>
        <sz val="10"/>
        <rFont val="Arial"/>
        <family val="2"/>
      </rPr>
      <t xml:space="preserve"> Vieillot, 1817</t>
    </r>
  </si>
  <si>
    <t>Zarapito fino</t>
  </si>
  <si>
    <r>
      <rPr>
        <i/>
        <sz val="10"/>
        <rFont val="Arial"/>
        <family val="2"/>
      </rPr>
      <t>Nycticorax nycticorax</t>
    </r>
    <r>
      <rPr>
        <sz val="10"/>
        <rFont val="Arial"/>
        <family val="2"/>
      </rPr>
      <t xml:space="preserve"> (Linnaeus, 1758)</t>
    </r>
  </si>
  <si>
    <t>Oceanodroma castro</t>
  </si>
  <si>
    <r>
      <rPr>
        <i/>
        <sz val="10"/>
        <rFont val="Arial"/>
        <family val="2"/>
      </rPr>
      <t>Hydrobates castro</t>
    </r>
    <r>
      <rPr>
        <sz val="10"/>
        <rFont val="Arial"/>
        <family val="2"/>
      </rPr>
      <t xml:space="preserve"> (Harcourt, 1851)</t>
    </r>
  </si>
  <si>
    <t>Paíño de Madeira</t>
  </si>
  <si>
    <r>
      <rPr>
        <i/>
        <sz val="10"/>
        <rFont val="Arial"/>
        <family val="2"/>
      </rPr>
      <t xml:space="preserve">Hydrobates leucorhous </t>
    </r>
    <r>
      <rPr>
        <sz val="10"/>
        <rFont val="Arial"/>
        <family val="2"/>
      </rPr>
      <t xml:space="preserve">(Vieillot, 1818) </t>
    </r>
    <r>
      <rPr>
        <i/>
        <strike/>
        <sz val="10"/>
        <rFont val="Arial"/>
        <family val="2"/>
      </rPr>
      <t/>
    </r>
  </si>
  <si>
    <r>
      <rPr>
        <i/>
        <sz val="10"/>
        <rFont val="Arial"/>
        <family val="2"/>
      </rPr>
      <t>Oenanthe hispanica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</si>
  <si>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Oenanthe leucura</t>
    </r>
    <r>
      <rPr>
        <sz val="10"/>
        <rFont val="Arial"/>
        <family val="2"/>
      </rPr>
      <t xml:space="preserve"> (Gmelin, JF, 1789)</t>
    </r>
  </si>
  <si>
    <r>
      <rPr>
        <i/>
        <sz val="10"/>
        <rFont val="Arial"/>
        <family val="2"/>
      </rPr>
      <t>Oenanthe oenanthe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</si>
  <si>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Oriolus oriolus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</si>
  <si>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 xml:space="preserve">Otis tarda </t>
    </r>
    <r>
      <rPr>
        <sz val="10"/>
        <rFont val="Arial"/>
        <family val="2"/>
      </rPr>
      <t>Linnaeus, 1758</t>
    </r>
  </si>
  <si>
    <r>
      <rPr>
        <i/>
        <sz val="10"/>
        <rFont val="Arial"/>
        <family val="2"/>
      </rPr>
      <t>Otus scops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</si>
  <si>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Oxyura leucocephala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</si>
  <si>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Pandion haliaetus</t>
    </r>
    <r>
      <rPr>
        <sz val="10"/>
        <rFont val="Arial"/>
        <family val="2"/>
      </rPr>
      <t xml:space="preserve"> (Linnaeus, 1758)</t>
    </r>
  </si>
  <si>
    <t>Panurus biarmicus</t>
  </si>
  <si>
    <r>
      <rPr>
        <i/>
        <sz val="10"/>
        <rFont val="Arial"/>
        <family val="2"/>
      </rPr>
      <t>Panurus biarmicus</t>
    </r>
    <r>
      <rPr>
        <sz val="10"/>
        <rFont val="Arial"/>
        <family val="2"/>
      </rPr>
      <t xml:space="preserve"> (Linnaeus, 1758)</t>
    </r>
  </si>
  <si>
    <t>Bigotudo</t>
  </si>
  <si>
    <r>
      <rPr>
        <i/>
        <sz val="10"/>
        <rFont val="Arial"/>
        <family val="2"/>
      </rPr>
      <t>Parus major</t>
    </r>
    <r>
      <rPr>
        <sz val="10"/>
        <rFont val="Arial"/>
        <family val="2"/>
      </rPr>
      <t xml:space="preserve"> Linnaeus, 1758</t>
    </r>
  </si>
  <si>
    <t>Pelagodroma marina</t>
  </si>
  <si>
    <r>
      <rPr>
        <i/>
        <sz val="10"/>
        <rFont val="Arial"/>
        <family val="2"/>
      </rPr>
      <t>Pelagodroma marina</t>
    </r>
    <r>
      <rPr>
        <sz val="10"/>
        <rFont val="Arial"/>
        <family val="2"/>
      </rPr>
      <t xml:space="preserve"> (Latham, 1790)</t>
    </r>
  </si>
  <si>
    <t>Paíño pechialbo, Bailarín</t>
  </si>
  <si>
    <t>Perdix perdix hispaniensis</t>
  </si>
  <si>
    <r>
      <t xml:space="preserve">Perdix perdix </t>
    </r>
    <r>
      <rPr>
        <sz val="10"/>
        <rFont val="Arial"/>
        <family val="2"/>
      </rPr>
      <t>subsp.</t>
    </r>
    <r>
      <rPr>
        <i/>
        <sz val="10"/>
        <rFont val="Arial"/>
        <family val="2"/>
      </rPr>
      <t xml:space="preserve">hispaniensis </t>
    </r>
    <r>
      <rPr>
        <sz val="10"/>
        <rFont val="Arial"/>
        <family val="2"/>
      </rPr>
      <t>Reichenow, 1892</t>
    </r>
  </si>
  <si>
    <t>Perdiz pardilla</t>
  </si>
  <si>
    <t>Sistema Ibérico</t>
  </si>
  <si>
    <t>Orden TED/1126/2020</t>
  </si>
  <si>
    <t>Periparus ater</t>
  </si>
  <si>
    <r>
      <rPr>
        <i/>
        <sz val="10"/>
        <rFont val="Arial"/>
        <family val="2"/>
      </rPr>
      <t>Periparus ater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</si>
  <si>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Pernis apivorus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</si>
  <si>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Petronia petronia</t>
    </r>
    <r>
      <rPr>
        <sz val="10"/>
        <rFont val="Arial"/>
        <family val="2"/>
      </rPr>
      <t xml:space="preserve"> (Linnaeus, 1766)</t>
    </r>
  </si>
  <si>
    <t>Phaethon aethereus mesonauta</t>
  </si>
  <si>
    <r>
      <rPr>
        <i/>
        <sz val="10"/>
        <color theme="1"/>
        <rFont val="Arial"/>
        <family val="2"/>
      </rPr>
      <t>Phaethon aethereus mesonauta</t>
    </r>
    <r>
      <rPr>
        <sz val="10"/>
        <color theme="1"/>
        <rFont val="Arial"/>
        <family val="2"/>
      </rPr>
      <t> Peters, J.L.,1930</t>
    </r>
  </si>
  <si>
    <t>Rabijunco etéreo</t>
  </si>
  <si>
    <t>Phalacrocorax aristotelis</t>
  </si>
  <si>
    <r>
      <rPr>
        <i/>
        <sz val="10"/>
        <rFont val="Arial"/>
        <family val="2"/>
      </rPr>
      <t xml:space="preserve">Gulosus aristotelis </t>
    </r>
    <r>
      <rPr>
        <sz val="10"/>
        <rFont val="Arial"/>
        <family val="2"/>
      </rPr>
      <t>(Linnaeus, 1761)</t>
    </r>
  </si>
  <si>
    <r>
      <rPr>
        <i/>
        <sz val="10"/>
        <rFont val="Arial"/>
        <family val="2"/>
      </rPr>
      <t>Phalaropus fulicarius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</si>
  <si>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Phalaropus lobatus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</si>
  <si>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Calidris pugnax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</si>
  <si>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Phoenicopterus roseus</t>
    </r>
    <r>
      <rPr>
        <sz val="10"/>
        <rFont val="Arial"/>
        <family val="2"/>
      </rPr>
      <t xml:space="preserve"> Pallas, 1811</t>
    </r>
  </si>
  <si>
    <r>
      <rPr>
        <i/>
        <sz val="10"/>
        <rFont val="Arial"/>
        <family val="2"/>
      </rPr>
      <t>Phoenicurus ochruros</t>
    </r>
    <r>
      <rPr>
        <sz val="10"/>
        <rFont val="Arial"/>
        <family val="2"/>
      </rPr>
      <t xml:space="preserve"> (Gmelin, SG, 1774)</t>
    </r>
  </si>
  <si>
    <t>Phoenicurus phoenicurus</t>
  </si>
  <si>
    <r>
      <rPr>
        <i/>
        <sz val="10"/>
        <rFont val="Arial"/>
        <family val="2"/>
      </rPr>
      <t>Phoenicurus phoenicurus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</si>
  <si>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Phylloscopus bonelli</t>
    </r>
    <r>
      <rPr>
        <sz val="10"/>
        <rFont val="Arial"/>
        <family val="2"/>
      </rPr>
      <t xml:space="preserve"> (Vieillot, 1819)</t>
    </r>
  </si>
  <si>
    <t>Phylloscopus canariensis</t>
  </si>
  <si>
    <r>
      <rPr>
        <i/>
        <sz val="10"/>
        <rFont val="Arial"/>
        <family val="2"/>
      </rPr>
      <t>Phylloscopus canariensis</t>
    </r>
    <r>
      <rPr>
        <sz val="10"/>
        <rFont val="Arial"/>
        <family val="2"/>
      </rPr>
      <t xml:space="preserve"> (Hartwig, 1886)</t>
    </r>
  </si>
  <si>
    <t>Mosquitero canario</t>
  </si>
  <si>
    <r>
      <rPr>
        <i/>
        <sz val="10"/>
        <rFont val="Arial"/>
        <family val="2"/>
      </rPr>
      <t>Phylloscopus collybita</t>
    </r>
    <r>
      <rPr>
        <sz val="10"/>
        <rFont val="Arial"/>
        <family val="2"/>
      </rPr>
      <t xml:space="preserve"> (Vieillot, 1817)</t>
    </r>
  </si>
  <si>
    <r>
      <rPr>
        <i/>
        <sz val="10"/>
        <rFont val="Arial"/>
        <family val="2"/>
      </rPr>
      <t>Phylloscopus ibericus</t>
    </r>
    <r>
      <rPr>
        <sz val="10"/>
        <rFont val="Arial"/>
        <family val="2"/>
      </rPr>
      <t xml:space="preserve"> Ticehurst, 1937</t>
    </r>
  </si>
  <si>
    <r>
      <rPr>
        <i/>
        <sz val="10"/>
        <rFont val="Arial"/>
        <family val="2"/>
      </rPr>
      <t>Phylloscopus sibilatrix</t>
    </r>
    <r>
      <rPr>
        <sz val="10"/>
        <rFont val="Arial"/>
        <family val="2"/>
      </rPr>
      <t xml:space="preserve"> (Bechstein, 1793)</t>
    </r>
  </si>
  <si>
    <r>
      <rPr>
        <i/>
        <sz val="10"/>
        <rFont val="Arial"/>
        <family val="2"/>
      </rPr>
      <t>Phylloscopus trochilus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</si>
  <si>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Picus sharpei</t>
    </r>
    <r>
      <rPr>
        <sz val="10"/>
        <rFont val="Arial"/>
        <family val="2"/>
      </rPr>
      <t xml:space="preserve"> (Saunders, H, 1872)</t>
    </r>
  </si>
  <si>
    <r>
      <rPr>
        <i/>
        <sz val="10"/>
        <rFont val="Arial"/>
        <family val="2"/>
      </rPr>
      <t>Platalea leucorodia</t>
    </r>
    <r>
      <rPr>
        <sz val="10"/>
        <rFont val="Arial"/>
        <family val="2"/>
      </rPr>
      <t xml:space="preserve"> Linnaeus, 1758</t>
    </r>
  </si>
  <si>
    <t>Plectrophenax nivalis</t>
  </si>
  <si>
    <r>
      <rPr>
        <i/>
        <sz val="10"/>
        <rFont val="Arial"/>
        <family val="2"/>
      </rPr>
      <t>Plectrophenax nivalis</t>
    </r>
    <r>
      <rPr>
        <sz val="10"/>
        <rFont val="Arial"/>
        <family val="2"/>
      </rPr>
      <t xml:space="preserve"> (Linnaeus, 1758)</t>
    </r>
  </si>
  <si>
    <t>Escribano nival</t>
  </si>
  <si>
    <r>
      <rPr>
        <i/>
        <sz val="10"/>
        <rFont val="Arial"/>
        <family val="2"/>
      </rPr>
      <t>Plegadis falcinellus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</si>
  <si>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Pluvialis apricaria</t>
    </r>
    <r>
      <rPr>
        <sz val="10"/>
        <rFont val="Arial"/>
        <family val="2"/>
      </rPr>
      <t xml:space="preserve"> (Linnaeus, 1758)</t>
    </r>
  </si>
  <si>
    <t>Pluvialis squatarola</t>
  </si>
  <si>
    <r>
      <rPr>
        <i/>
        <sz val="10"/>
        <rFont val="Arial"/>
        <family val="2"/>
      </rPr>
      <t>Pluvialis squatarola</t>
    </r>
    <r>
      <rPr>
        <sz val="10"/>
        <rFont val="Arial"/>
        <family val="2"/>
      </rPr>
      <t xml:space="preserve"> (Linnaeus, 1758)</t>
    </r>
  </si>
  <si>
    <t>Podiceps auritus</t>
  </si>
  <si>
    <r>
      <rPr>
        <i/>
        <sz val="10"/>
        <rFont val="Arial"/>
        <family val="2"/>
      </rPr>
      <t>Podiceps auritus</t>
    </r>
    <r>
      <rPr>
        <sz val="10"/>
        <rFont val="Arial"/>
        <family val="2"/>
      </rPr>
      <t xml:space="preserve"> (Linnaeus, 1758)</t>
    </r>
  </si>
  <si>
    <t>Zampullín cuellirrojo</t>
  </si>
  <si>
    <r>
      <rPr>
        <i/>
        <sz val="10"/>
        <rFont val="Arial"/>
        <family val="2"/>
      </rPr>
      <t>Podiceps cristatus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</si>
  <si>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Podiceps nigricollis</t>
    </r>
    <r>
      <rPr>
        <sz val="10"/>
        <rFont val="Arial"/>
        <family val="2"/>
      </rPr>
      <t xml:space="preserve"> Brehm, 1831</t>
    </r>
  </si>
  <si>
    <t>Poecile palustris</t>
  </si>
  <si>
    <r>
      <rPr>
        <i/>
        <sz val="10"/>
        <rFont val="Arial"/>
        <family val="2"/>
      </rPr>
      <t>Poecile palustris</t>
    </r>
    <r>
      <rPr>
        <sz val="10"/>
        <rFont val="Arial"/>
        <family val="2"/>
      </rPr>
      <t xml:space="preserve"> (Linnaeus, 1758)</t>
    </r>
  </si>
  <si>
    <t>Carbonero palustre</t>
  </si>
  <si>
    <r>
      <rPr>
        <i/>
        <sz val="10"/>
        <rFont val="Arial"/>
        <family val="2"/>
      </rPr>
      <t>Porphyrio porphyrio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</si>
  <si>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Zapornia parva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</si>
  <si>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Porzana porzana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</si>
  <si>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Zapornia pusilla</t>
    </r>
    <r>
      <rPr>
        <sz val="10"/>
        <rFont val="Arial"/>
        <family val="2"/>
      </rPr>
      <t xml:space="preserve"> (Pallas, 1776)</t>
    </r>
  </si>
  <si>
    <r>
      <rPr>
        <i/>
        <sz val="10"/>
        <rFont val="Arial"/>
        <family val="2"/>
      </rPr>
      <t>Prunella collaris</t>
    </r>
    <r>
      <rPr>
        <sz val="10"/>
        <rFont val="Arial"/>
        <family val="2"/>
      </rPr>
      <t xml:space="preserve"> (Scopoli, 1769)</t>
    </r>
  </si>
  <si>
    <r>
      <rPr>
        <i/>
        <sz val="10"/>
        <rFont val="Arial"/>
        <family val="2"/>
      </rPr>
      <t>Prunella modularis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</si>
  <si>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Pterocles alchata</t>
    </r>
    <r>
      <rPr>
        <sz val="10"/>
        <rFont val="Arial"/>
        <family val="2"/>
      </rPr>
      <t xml:space="preserve"> (Linnaeus, 1766)</t>
    </r>
  </si>
  <si>
    <r>
      <rPr>
        <i/>
        <sz val="10"/>
        <rFont val="Arial"/>
        <family val="2"/>
      </rPr>
      <t>Pterocles orientalis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</si>
  <si>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Ptyonoprogne rupestris</t>
    </r>
    <r>
      <rPr>
        <sz val="10"/>
        <rFont val="Arial"/>
        <family val="2"/>
      </rPr>
      <t xml:space="preserve"> (Scopoli, 1769)</t>
    </r>
  </si>
  <si>
    <t>Puffinus assimilis</t>
  </si>
  <si>
    <r>
      <rPr>
        <i/>
        <sz val="10"/>
        <rFont val="Arial"/>
        <family val="2"/>
      </rPr>
      <t>Puffinus baroli</t>
    </r>
    <r>
      <rPr>
        <sz val="10"/>
        <rFont val="Arial"/>
        <family val="2"/>
      </rPr>
      <t xml:space="preserve"> (Bonaparte, 1857)</t>
    </r>
  </si>
  <si>
    <t>Pardela chica</t>
  </si>
  <si>
    <r>
      <rPr>
        <i/>
        <sz val="10"/>
        <rFont val="Arial"/>
        <family val="2"/>
      </rPr>
      <t>Puffinus mauretanicus</t>
    </r>
    <r>
      <rPr>
        <sz val="10"/>
        <rFont val="Arial"/>
        <family val="2"/>
      </rPr>
      <t xml:space="preserve"> Lowe, 1921</t>
    </r>
  </si>
  <si>
    <t>Puffinus gravis</t>
  </si>
  <si>
    <r>
      <rPr>
        <i/>
        <sz val="10"/>
        <rFont val="Arial"/>
        <family val="2"/>
      </rPr>
      <t>Ardenna gravis</t>
    </r>
    <r>
      <rPr>
        <sz val="10"/>
        <rFont val="Arial"/>
        <family val="2"/>
      </rPr>
      <t xml:space="preserve"> (O'Reilly, 1818)</t>
    </r>
  </si>
  <si>
    <t>Pardela capirotada</t>
  </si>
  <si>
    <r>
      <rPr>
        <i/>
        <sz val="10"/>
        <rFont val="Arial"/>
        <family val="2"/>
      </rPr>
      <t>Ardenna grisea</t>
    </r>
    <r>
      <rPr>
        <sz val="10"/>
        <rFont val="Arial"/>
        <family val="2"/>
      </rPr>
      <t xml:space="preserve"> (Gmelin, JF, 1789)</t>
    </r>
  </si>
  <si>
    <t>Puffinus puffinus</t>
  </si>
  <si>
    <r>
      <rPr>
        <i/>
        <sz val="10"/>
        <rFont val="Arial"/>
        <family val="2"/>
      </rPr>
      <t>Puffinus puffinus</t>
    </r>
    <r>
      <rPr>
        <sz val="10"/>
        <rFont val="Arial"/>
        <family val="2"/>
      </rPr>
      <t xml:space="preserve"> (Brünnich, 1764)</t>
    </r>
  </si>
  <si>
    <t>Pardela pichoneta</t>
  </si>
  <si>
    <r>
      <rPr>
        <i/>
        <sz val="10"/>
        <rFont val="Arial"/>
        <family val="2"/>
      </rPr>
      <t>Puffinus yelkouan</t>
    </r>
    <r>
      <rPr>
        <sz val="10"/>
        <rFont val="Arial"/>
        <family val="2"/>
      </rPr>
      <t xml:space="preserve"> (Acerbi, 1827)</t>
    </r>
  </si>
  <si>
    <t>Pyrrhocorax graculus</t>
  </si>
  <si>
    <r>
      <rPr>
        <i/>
        <sz val="10"/>
        <rFont val="Arial"/>
        <family val="2"/>
      </rPr>
      <t>Pyrrhocorax graculus</t>
    </r>
    <r>
      <rPr>
        <sz val="10"/>
        <rFont val="Arial"/>
        <family val="2"/>
      </rPr>
      <t xml:space="preserve"> (Linnaeus, 1766)</t>
    </r>
  </si>
  <si>
    <t>Chova piquigualda</t>
  </si>
  <si>
    <r>
      <rPr>
        <i/>
        <sz val="10"/>
        <rFont val="Arial"/>
        <family val="2"/>
      </rPr>
      <t>Pyrrhocorax pyrrhocorax</t>
    </r>
    <r>
      <rPr>
        <sz val="10"/>
        <rFont val="Arial"/>
        <family val="2"/>
      </rPr>
      <t xml:space="preserve"> (Linnaeus, 1758)</t>
    </r>
  </si>
  <si>
    <t>Pyrrhula pyrrhula</t>
  </si>
  <si>
    <r>
      <rPr>
        <i/>
        <sz val="10"/>
        <rFont val="Arial"/>
        <family val="2"/>
      </rPr>
      <t>Pyrrhula pyrrhula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</si>
  <si>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Recurvirostra avosetta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</si>
  <si>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Regulus ignicapilla</t>
    </r>
    <r>
      <rPr>
        <sz val="10"/>
        <rFont val="Arial"/>
        <family val="2"/>
      </rPr>
      <t xml:space="preserve"> (Temminck, 1820)</t>
    </r>
  </si>
  <si>
    <r>
      <rPr>
        <i/>
        <sz val="10"/>
        <rFont val="Arial"/>
        <family val="2"/>
      </rPr>
      <t>Regulus regulus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</si>
  <si>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Remiz pendulinus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</si>
  <si>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Riparia riparia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</si>
  <si>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Rissa tridactyla</t>
    </r>
    <r>
      <rPr>
        <sz val="10"/>
        <rFont val="Arial"/>
        <family val="2"/>
      </rPr>
      <t xml:space="preserve"> (Linnaeus, 1758)</t>
    </r>
  </si>
  <si>
    <t>Saxicola dacotiae</t>
  </si>
  <si>
    <r>
      <rPr>
        <i/>
        <sz val="10"/>
        <rFont val="Arial"/>
        <family val="2"/>
      </rPr>
      <t>Saxicola dacotiae</t>
    </r>
    <r>
      <rPr>
        <sz val="10"/>
        <rFont val="Arial"/>
        <family val="2"/>
      </rPr>
      <t xml:space="preserve"> (Meade-Waldo, 1889)</t>
    </r>
  </si>
  <si>
    <t>Tarabilla canaria</t>
  </si>
  <si>
    <r>
      <rPr>
        <i/>
        <sz val="10"/>
        <rFont val="Arial"/>
        <family val="2"/>
      </rPr>
      <t>Saxicola rubetra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</si>
  <si>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Saxicola rubicola</t>
    </r>
    <r>
      <rPr>
        <sz val="10"/>
        <rFont val="Arial"/>
        <family val="2"/>
      </rPr>
      <t xml:space="preserve"> (Linnaeus, 1766)</t>
    </r>
  </si>
  <si>
    <r>
      <t>Tarabilla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europea </t>
    </r>
  </si>
  <si>
    <r>
      <rPr>
        <i/>
        <sz val="10"/>
        <rFont val="Arial"/>
        <family val="2"/>
      </rPr>
      <t>Carduelis citrinella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</si>
  <si>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Sitta europaea</t>
    </r>
    <r>
      <rPr>
        <sz val="10"/>
        <rFont val="Arial"/>
        <family val="2"/>
      </rPr>
      <t xml:space="preserve"> Linnaeus, 1758</t>
    </r>
  </si>
  <si>
    <t>Stercorarius parasiticus</t>
  </si>
  <si>
    <r>
      <rPr>
        <i/>
        <sz val="10"/>
        <rFont val="Arial"/>
        <family val="2"/>
      </rPr>
      <t>Stercorarius parasiticus</t>
    </r>
    <r>
      <rPr>
        <sz val="10"/>
        <rFont val="Arial"/>
        <family val="2"/>
      </rPr>
      <t xml:space="preserve"> (Linnaeus, 1758)</t>
    </r>
  </si>
  <si>
    <t>Stercorarius pomarinus</t>
  </si>
  <si>
    <r>
      <rPr>
        <i/>
        <sz val="10"/>
        <rFont val="Arial"/>
        <family val="2"/>
      </rPr>
      <t>Stercorarius pomarinus</t>
    </r>
    <r>
      <rPr>
        <sz val="10"/>
        <rFont val="Arial"/>
        <family val="2"/>
      </rPr>
      <t xml:space="preserve"> (Temminck, 1815)</t>
    </r>
  </si>
  <si>
    <t>Stercorarius skua</t>
  </si>
  <si>
    <r>
      <rPr>
        <i/>
        <sz val="10"/>
        <rFont val="Arial"/>
        <family val="2"/>
      </rPr>
      <t>Stercorarius skua</t>
    </r>
    <r>
      <rPr>
        <sz val="10"/>
        <rFont val="Arial"/>
        <family val="2"/>
      </rPr>
      <t xml:space="preserve"> (Brünnich, 1764)</t>
    </r>
  </si>
  <si>
    <t>Sterna bengalensis</t>
  </si>
  <si>
    <r>
      <rPr>
        <i/>
        <sz val="10"/>
        <rFont val="Arial"/>
        <family val="2"/>
      </rPr>
      <t>Thalasseus bengalensis</t>
    </r>
    <r>
      <rPr>
        <sz val="10"/>
        <rFont val="Arial"/>
        <family val="2"/>
      </rPr>
      <t xml:space="preserve"> (Lesson, 1831)</t>
    </r>
  </si>
  <si>
    <t>Charrán bengalí</t>
  </si>
  <si>
    <t>Mediterráneo</t>
  </si>
  <si>
    <r>
      <rPr>
        <i/>
        <sz val="10"/>
        <rFont val="Arial"/>
        <family val="2"/>
      </rPr>
      <t>Hydroprogne caspia</t>
    </r>
    <r>
      <rPr>
        <sz val="10"/>
        <rFont val="Arial"/>
        <family val="2"/>
      </rPr>
      <t xml:space="preserve"> (Pallas, 1770)</t>
    </r>
  </si>
  <si>
    <t>Sterna dougallii</t>
  </si>
  <si>
    <r>
      <rPr>
        <i/>
        <sz val="10"/>
        <rFont val="Arial"/>
        <family val="2"/>
      </rPr>
      <t>Sterna dougallii</t>
    </r>
    <r>
      <rPr>
        <sz val="10"/>
        <rFont val="Arial"/>
        <family val="2"/>
      </rPr>
      <t xml:space="preserve"> Montagu, 1813</t>
    </r>
  </si>
  <si>
    <t>Charrán rosado</t>
  </si>
  <si>
    <r>
      <rPr>
        <i/>
        <sz val="10"/>
        <rFont val="Arial"/>
        <family val="2"/>
      </rPr>
      <t>Sterna hirundo</t>
    </r>
    <r>
      <rPr>
        <sz val="10"/>
        <rFont val="Arial"/>
        <family val="2"/>
      </rPr>
      <t xml:space="preserve"> Linnaeus, 1758</t>
    </r>
  </si>
  <si>
    <t>Sterna paradisaea</t>
  </si>
  <si>
    <r>
      <rPr>
        <i/>
        <sz val="10"/>
        <rFont val="Arial"/>
        <family val="2"/>
      </rPr>
      <t>Sterna paradisaea</t>
    </r>
    <r>
      <rPr>
        <sz val="10"/>
        <rFont val="Arial"/>
        <family val="2"/>
      </rPr>
      <t xml:space="preserve"> Pontoppidan, 1763</t>
    </r>
  </si>
  <si>
    <t>Charrán ártico</t>
  </si>
  <si>
    <r>
      <rPr>
        <i/>
        <sz val="10"/>
        <rFont val="Arial"/>
        <family val="2"/>
      </rPr>
      <t>Sternula albifrons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</si>
  <si>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Strix aluco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</si>
  <si>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Sylvia atricapilla</t>
    </r>
    <r>
      <rPr>
        <sz val="10"/>
        <rFont val="Arial"/>
        <family val="2"/>
      </rPr>
      <t xml:space="preserve"> (Linnaeus, 1758)</t>
    </r>
  </si>
  <si>
    <t>Sylvia balearica (= S. sarda)</t>
  </si>
  <si>
    <r>
      <rPr>
        <i/>
        <sz val="10"/>
        <rFont val="Arial"/>
        <family val="2"/>
      </rPr>
      <t>Curruca balearica</t>
    </r>
    <r>
      <rPr>
        <sz val="10"/>
        <rFont val="Arial"/>
        <family val="2"/>
      </rPr>
      <t> (Jordans, 1913)</t>
    </r>
  </si>
  <si>
    <t>Curruca sarda o balear</t>
  </si>
  <si>
    <r>
      <rPr>
        <i/>
        <sz val="10"/>
        <rFont val="Arial"/>
        <family val="2"/>
      </rPr>
      <t>Sylvia borin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</si>
  <si>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Curruca cantillans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</si>
  <si>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Curruca communis</t>
    </r>
    <r>
      <rPr>
        <sz val="10"/>
        <rFont val="Arial"/>
        <family val="2"/>
      </rPr>
      <t> (Latham, 1787)</t>
    </r>
  </si>
  <si>
    <r>
      <rPr>
        <i/>
        <sz val="10"/>
        <rFont val="Arial"/>
        <family val="2"/>
      </rPr>
      <t>Curruca conspicillata</t>
    </r>
    <r>
      <rPr>
        <sz val="10"/>
        <rFont val="Arial"/>
        <family val="2"/>
      </rPr>
      <t xml:space="preserve"> (Temminck, 1820)</t>
    </r>
  </si>
  <si>
    <t>Sylvia curruca</t>
  </si>
  <si>
    <r>
      <rPr>
        <i/>
        <sz val="10"/>
        <rFont val="Arial"/>
        <family val="2"/>
      </rPr>
      <t>Curruca curruca</t>
    </r>
    <r>
      <rPr>
        <sz val="10"/>
        <rFont val="Arial"/>
        <family val="2"/>
      </rPr>
      <t xml:space="preserve"> (Linnaeus, 1758)</t>
    </r>
  </si>
  <si>
    <t>Curruca zarcerilla</t>
  </si>
  <si>
    <r>
      <rPr>
        <i/>
        <sz val="10"/>
        <rFont val="Arial"/>
        <family val="2"/>
      </rPr>
      <t>Curruca hortensis</t>
    </r>
    <r>
      <rPr>
        <sz val="10"/>
        <rFont val="Arial"/>
        <family val="2"/>
      </rPr>
      <t> (Gmelin, 1789)</t>
    </r>
  </si>
  <si>
    <r>
      <rPr>
        <i/>
        <sz val="10"/>
        <rFont val="Arial"/>
        <family val="2"/>
      </rPr>
      <t xml:space="preserve">Curruca melanocephala </t>
    </r>
    <r>
      <rPr>
        <sz val="10"/>
        <rFont val="Arial"/>
        <family val="2"/>
      </rPr>
      <t>(Gmelin, JF, 1789)</t>
    </r>
  </si>
  <si>
    <r>
      <rPr>
        <i/>
        <sz val="10"/>
        <rFont val="Arial"/>
        <family val="2"/>
      </rPr>
      <t>Curruca undata</t>
    </r>
    <r>
      <rPr>
        <sz val="10"/>
        <rFont val="Arial"/>
        <family val="2"/>
      </rPr>
      <t xml:space="preserve"> (Boddaert, 1783)</t>
    </r>
  </si>
  <si>
    <r>
      <rPr>
        <i/>
        <sz val="10"/>
        <rFont val="Arial"/>
        <family val="2"/>
      </rPr>
      <t>Tachybaptus ruficollis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</si>
  <si>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Tachymarptis melba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</si>
  <si>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Tadorna ferruginea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</si>
  <si>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Tadorna tadorna</t>
    </r>
    <r>
      <rPr>
        <sz val="10"/>
        <rFont val="Arial"/>
        <family val="2"/>
      </rPr>
      <t xml:space="preserve"> (Linnaeus, 1758)</t>
    </r>
  </si>
  <si>
    <t>Tetrao urogallus aquitanicus</t>
  </si>
  <si>
    <r>
      <rPr>
        <i/>
        <sz val="10"/>
        <rFont val="Arial"/>
        <family val="2"/>
      </rPr>
      <t>Tetrao urogallus</t>
    </r>
    <r>
      <rPr>
        <sz val="10"/>
        <rFont val="Arial"/>
        <family val="2"/>
      </rPr>
      <t xml:space="preserve"> Linnaeus, 1758</t>
    </r>
  </si>
  <si>
    <t>Urogallo común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</si>
  <si>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>Tetrao urogallus</t>
    </r>
    <r>
      <rPr>
        <u/>
        <sz val="10"/>
        <color theme="1"/>
        <rFont val="Arial"/>
        <family val="2"/>
      </rPr>
      <t xml:space="preserve"> Linnaeus, 1758</t>
    </r>
    <r>
      <rPr>
        <i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Nombre común anterior: Urogallo pirenaico (Subespecie de Pirineos referida en RD139/2011)</t>
    </r>
  </si>
  <si>
    <t>Tetrao urogallus cantabricus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</si>
  <si>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 xml:space="preserve">Tetrao urogallus </t>
    </r>
    <r>
      <rPr>
        <u/>
        <sz val="10"/>
        <color theme="1"/>
        <rFont val="Arial"/>
        <family val="2"/>
      </rPr>
      <t>Linnaeus, 1758</t>
    </r>
    <r>
      <rPr>
        <sz val="10"/>
        <color theme="1"/>
        <rFont val="Arial"/>
        <family val="2"/>
      </rPr>
      <t xml:space="preserve">
Nombre común actualizado: Urogallo cantábrico (Subespecie de la Cordillera Cantábrica referida en RD 139/2011)</t>
    </r>
  </si>
  <si>
    <r>
      <rPr>
        <i/>
        <sz val="10"/>
        <rFont val="Arial"/>
        <family val="2"/>
      </rPr>
      <t>Tetrax tetrax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</si>
  <si>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Thalasseus sandvicensis</t>
    </r>
    <r>
      <rPr>
        <sz val="10"/>
        <rFont val="Arial"/>
        <family val="2"/>
      </rPr>
      <t xml:space="preserve"> (Latham, 1787)</t>
    </r>
  </si>
  <si>
    <t>Tichodroma muraria</t>
  </si>
  <si>
    <r>
      <rPr>
        <i/>
        <sz val="10"/>
        <rFont val="Arial"/>
        <family val="2"/>
      </rPr>
      <t>Tichodroma muraria</t>
    </r>
    <r>
      <rPr>
        <sz val="10"/>
        <rFont val="Arial"/>
        <family val="2"/>
      </rPr>
      <t xml:space="preserve"> (Linnaeus, 1766)</t>
    </r>
  </si>
  <si>
    <t>Tringa erythropus</t>
  </si>
  <si>
    <r>
      <rPr>
        <i/>
        <sz val="10"/>
        <rFont val="Arial"/>
        <family val="2"/>
      </rPr>
      <t>Tringa erythropus</t>
    </r>
    <r>
      <rPr>
        <sz val="10"/>
        <rFont val="Arial"/>
        <family val="2"/>
      </rPr>
      <t xml:space="preserve"> (Pallas, 1764)</t>
    </r>
  </si>
  <si>
    <r>
      <rPr>
        <i/>
        <sz val="10"/>
        <rFont val="Arial"/>
        <family val="2"/>
      </rPr>
      <t>Tringa glareola</t>
    </r>
    <r>
      <rPr>
        <sz val="10"/>
        <rFont val="Arial"/>
        <family val="2"/>
      </rPr>
      <t xml:space="preserve"> Linnaeus, 1758</t>
    </r>
  </si>
  <si>
    <t>Tringa nebularia</t>
  </si>
  <si>
    <r>
      <rPr>
        <i/>
        <sz val="10"/>
        <rFont val="Arial"/>
        <family val="2"/>
      </rPr>
      <t>Tringa nebularia</t>
    </r>
    <r>
      <rPr>
        <sz val="10"/>
        <rFont val="Arial"/>
        <family val="2"/>
      </rPr>
      <t xml:space="preserve"> (Gunnerus, 1767)</t>
    </r>
  </si>
  <si>
    <r>
      <rPr>
        <i/>
        <sz val="10"/>
        <rFont val="Arial"/>
        <family val="2"/>
      </rPr>
      <t>Tringa ochropus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</si>
  <si>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Tringa stagnatilis</t>
    </r>
    <r>
      <rPr>
        <sz val="10"/>
        <rFont val="Arial"/>
        <family val="2"/>
      </rPr>
      <t xml:space="preserve"> (Bechstein, 1803)</t>
    </r>
  </si>
  <si>
    <r>
      <rPr>
        <i/>
        <sz val="10"/>
        <rFont val="Arial"/>
        <family val="2"/>
      </rPr>
      <t>Tringa totanus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</si>
  <si>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Troglodytes troglodytes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</si>
  <si>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Turdus torquatus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</si>
  <si>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Turnix sylvaticus</t>
    </r>
    <r>
      <rPr>
        <sz val="10"/>
        <rFont val="Arial"/>
        <family val="2"/>
      </rPr>
      <t xml:space="preserve"> (Desfontaines, 1789)</t>
    </r>
  </si>
  <si>
    <r>
      <rPr>
        <i/>
        <sz val="10"/>
        <rFont val="Arial"/>
        <family val="2"/>
      </rPr>
      <t>Tyto alba alba</t>
    </r>
    <r>
      <rPr>
        <sz val="10"/>
        <rFont val="Arial"/>
        <family val="2"/>
      </rPr>
      <t xml:space="preserve"> (Scopoli, 1769)</t>
    </r>
  </si>
  <si>
    <t>Tyto alba gracilirostris</t>
  </si>
  <si>
    <r>
      <rPr>
        <i/>
        <sz val="10"/>
        <rFont val="Arial"/>
        <family val="2"/>
      </rPr>
      <t>Tyto alba gracilirostri</t>
    </r>
    <r>
      <rPr>
        <sz val="10"/>
        <rFont val="Arial"/>
        <family val="2"/>
      </rPr>
      <t>s (Hartert, E, 1905)</t>
    </r>
  </si>
  <si>
    <t>Lechuza majorera</t>
  </si>
  <si>
    <r>
      <rPr>
        <i/>
        <sz val="10"/>
        <rFont val="Arial"/>
        <family val="2"/>
      </rPr>
      <t>Upupa epops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</si>
  <si>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Uria aalge</t>
    </r>
    <r>
      <rPr>
        <sz val="10"/>
        <rFont val="Arial"/>
        <family val="2"/>
      </rPr>
      <t xml:space="preserve"> (Pontoppidan, 1763)</t>
    </r>
  </si>
  <si>
    <t>No reproductora</t>
  </si>
  <si>
    <t>Reproductora</t>
  </si>
  <si>
    <t>Isoplexis chalcantha</t>
  </si>
  <si>
    <r>
      <rPr>
        <i/>
        <sz val="10"/>
        <color theme="1"/>
        <rFont val="Arial"/>
        <family val="2"/>
      </rPr>
      <t xml:space="preserve">Digitalis chalcantha </t>
    </r>
    <r>
      <rPr>
        <sz val="10"/>
        <color theme="1"/>
        <rFont val="Arial"/>
        <family val="2"/>
      </rPr>
      <t xml:space="preserve">(Svent. &amp; O'Shan.) Albach, Bräuchler &amp; Heubl </t>
    </r>
  </si>
  <si>
    <t>Crestagallo de Doramas</t>
  </si>
  <si>
    <t>Isoplexis isabelliana</t>
  </si>
  <si>
    <r>
      <rPr>
        <i/>
        <sz val="10"/>
        <color theme="1"/>
        <rFont val="Arial"/>
        <family val="2"/>
      </rPr>
      <t xml:space="preserve">Digitalis isabelliana </t>
    </r>
    <r>
      <rPr>
        <sz val="10"/>
        <color theme="1"/>
        <rFont val="Arial"/>
        <family val="2"/>
      </rPr>
      <t>(Webb) Linding</t>
    </r>
  </si>
  <si>
    <t>Crestagallo de pinar</t>
  </si>
  <si>
    <t>Jasione lusitanica</t>
  </si>
  <si>
    <r>
      <t>Jasione lusitanica</t>
    </r>
    <r>
      <rPr>
        <sz val="10"/>
        <color theme="1"/>
        <rFont val="Arial"/>
        <family val="2"/>
      </rPr>
      <t xml:space="preserve"> A.DC.</t>
    </r>
  </si>
  <si>
    <t>Botón azul</t>
  </si>
  <si>
    <t>Adenocarpus ombriosus</t>
  </si>
  <si>
    <r>
      <rPr>
        <i/>
        <sz val="10"/>
        <rFont val="Arial"/>
        <family val="2"/>
      </rPr>
      <t>Adenocarpus ombriosus</t>
    </r>
    <r>
      <rPr>
        <sz val="10"/>
        <rFont val="Arial"/>
        <family val="2"/>
      </rPr>
      <t xml:space="preserve"> Ceballos &amp; Ortuño</t>
    </r>
  </si>
  <si>
    <t>Codeso herreño</t>
  </si>
  <si>
    <t>Aeonium balsamiferum</t>
  </si>
  <si>
    <r>
      <rPr>
        <i/>
        <sz val="10"/>
        <rFont val="Arial"/>
        <family val="2"/>
      </rPr>
      <t>Aeonium balsamiferum</t>
    </r>
    <r>
      <rPr>
        <sz val="10"/>
        <rFont val="Arial"/>
        <family val="2"/>
      </rPr>
      <t xml:space="preserve"> Webb &amp; Berthel.</t>
    </r>
  </si>
  <si>
    <t>Bejeque farrobo</t>
  </si>
  <si>
    <t>Aeonium gomerense</t>
  </si>
  <si>
    <r>
      <rPr>
        <i/>
        <sz val="10"/>
        <rFont val="Arial"/>
        <family val="2"/>
      </rPr>
      <t>Aeonium gomerense</t>
    </r>
    <r>
      <rPr>
        <sz val="10"/>
        <rFont val="Arial"/>
        <family val="2"/>
      </rPr>
      <t xml:space="preserve"> (Praeger) Praeger</t>
    </r>
  </si>
  <si>
    <t>Bejeque gomero</t>
  </si>
  <si>
    <t>Aeonium saundersii</t>
  </si>
  <si>
    <r>
      <rPr>
        <i/>
        <sz val="10"/>
        <rFont val="Arial"/>
        <family val="2"/>
      </rPr>
      <t>Aeonium saundersii</t>
    </r>
    <r>
      <rPr>
        <sz val="10"/>
        <rFont val="Arial"/>
        <family val="2"/>
      </rPr>
      <t xml:space="preserve"> Bolle</t>
    </r>
  </si>
  <si>
    <t>Bejequillo peludo de La Gomera</t>
  </si>
  <si>
    <t>Allium grosii</t>
  </si>
  <si>
    <r>
      <rPr>
        <i/>
        <sz val="10"/>
        <rFont val="Arial"/>
        <family val="2"/>
      </rPr>
      <t xml:space="preserve">Allium grosii </t>
    </r>
    <r>
      <rPr>
        <sz val="10"/>
        <rFont val="Arial"/>
        <family val="2"/>
      </rPr>
      <t>Font Quer</t>
    </r>
  </si>
  <si>
    <t>Alyssum fastigiatum</t>
  </si>
  <si>
    <r>
      <rPr>
        <i/>
        <sz val="10"/>
        <rFont val="Arial"/>
        <family val="2"/>
      </rPr>
      <t>Alyssum fastigiatum</t>
    </r>
    <r>
      <rPr>
        <sz val="10"/>
        <rFont val="Arial"/>
        <family val="2"/>
      </rPr>
      <t xml:space="preserve"> Heywood</t>
    </r>
  </si>
  <si>
    <t>Anagyris latifolia</t>
  </si>
  <si>
    <r>
      <rPr>
        <i/>
        <sz val="10"/>
        <rFont val="Arial"/>
        <family val="2"/>
      </rPr>
      <t xml:space="preserve">Anagyris latifolia </t>
    </r>
    <r>
      <rPr>
        <sz val="10"/>
        <rFont val="Arial"/>
        <family val="2"/>
      </rPr>
      <t>Willd.</t>
    </r>
  </si>
  <si>
    <t>Oro de risco</t>
  </si>
  <si>
    <t>Androcymbium europaeum</t>
  </si>
  <si>
    <r>
      <rPr>
        <i/>
        <sz val="10"/>
        <rFont val="Arial"/>
        <family val="2"/>
      </rPr>
      <t>Colchicum europaeum</t>
    </r>
    <r>
      <rPr>
        <sz val="10"/>
        <rFont val="Arial"/>
        <family val="2"/>
      </rPr>
      <t xml:space="preserve"> (Lange) J.C. Manning &amp; Vinn.</t>
    </r>
  </si>
  <si>
    <t>Androcymbium hierrense</t>
  </si>
  <si>
    <r>
      <rPr>
        <i/>
        <sz val="10"/>
        <rFont val="Arial"/>
        <family val="2"/>
      </rPr>
      <t>Androcymbium hierrense</t>
    </r>
    <r>
      <rPr>
        <sz val="10"/>
        <rFont val="Arial"/>
        <family val="2"/>
      </rPr>
      <t xml:space="preserve"> A.Santos</t>
    </r>
  </si>
  <si>
    <t>Cebollín</t>
  </si>
  <si>
    <t>Androcymbium psammophilum</t>
  </si>
  <si>
    <r>
      <rPr>
        <i/>
        <sz val="10"/>
        <rFont val="Arial"/>
        <family val="2"/>
      </rPr>
      <t>Androcymbium psammophilum</t>
    </r>
    <r>
      <rPr>
        <sz val="10"/>
        <rFont val="Arial"/>
        <family val="2"/>
      </rPr>
      <t xml:space="preserve"> Svent.</t>
    </r>
  </si>
  <si>
    <t>Cebollín estrellado de jable</t>
  </si>
  <si>
    <t>Androsace cylindrica</t>
  </si>
  <si>
    <r>
      <rPr>
        <i/>
        <sz val="10"/>
        <rFont val="Arial"/>
        <family val="2"/>
      </rPr>
      <t>Androsace cylindrica</t>
    </r>
    <r>
      <rPr>
        <sz val="10"/>
        <rFont val="Arial"/>
        <family val="2"/>
      </rPr>
      <t xml:space="preserve"> DC.</t>
    </r>
  </si>
  <si>
    <t>Androsace pyrenaica</t>
  </si>
  <si>
    <r>
      <rPr>
        <i/>
        <sz val="10"/>
        <rFont val="Arial"/>
        <family val="2"/>
      </rPr>
      <t>Androsace pyrenaica</t>
    </r>
    <r>
      <rPr>
        <sz val="10"/>
        <rFont val="Arial"/>
        <family val="2"/>
      </rPr>
      <t xml:space="preserve"> Lam.</t>
    </r>
  </si>
  <si>
    <t>Androsace rioxana</t>
  </si>
  <si>
    <r>
      <t>Androsace rioxana</t>
    </r>
    <r>
      <rPr>
        <sz val="10"/>
        <color theme="1"/>
        <rFont val="Arial"/>
        <family val="2"/>
      </rPr>
      <t xml:space="preserve"> A. Segura</t>
    </r>
  </si>
  <si>
    <t>Androsela riojana</t>
  </si>
  <si>
    <t>Anthyllis hystrix</t>
  </si>
  <si>
    <r>
      <rPr>
        <i/>
        <sz val="10"/>
        <rFont val="Arial"/>
        <family val="2"/>
      </rPr>
      <t>Anthyllis hystrix</t>
    </r>
    <r>
      <rPr>
        <sz val="10"/>
        <rFont val="Arial"/>
        <family val="2"/>
      </rPr>
      <t xml:space="preserve"> (Barceló) Cardona</t>
    </r>
  </si>
  <si>
    <r>
      <rPr>
        <i/>
        <sz val="10"/>
        <rFont val="Arial"/>
        <family val="2"/>
      </rPr>
      <t>Antirrhinum charidemi</t>
    </r>
    <r>
      <rPr>
        <sz val="10"/>
        <rFont val="Arial"/>
        <family val="2"/>
      </rPr>
      <t xml:space="preserve"> Lange</t>
    </r>
  </si>
  <si>
    <t>Anthirrhinum lopesianum</t>
  </si>
  <si>
    <r>
      <rPr>
        <i/>
        <sz val="10"/>
        <rFont val="Arial"/>
        <family val="2"/>
      </rPr>
      <t>Antirrhinum lopesianum</t>
    </r>
    <r>
      <rPr>
        <sz val="10"/>
        <rFont val="Arial"/>
        <family val="2"/>
      </rPr>
      <t xml:space="preserve"> Rothm.</t>
    </r>
  </si>
  <si>
    <t>Apium bermejoi</t>
  </si>
  <si>
    <r>
      <rPr>
        <i/>
        <sz val="10"/>
        <rFont val="Arial"/>
        <family val="2"/>
      </rPr>
      <t xml:space="preserve">Helosciadium bermejoi </t>
    </r>
    <r>
      <rPr>
        <sz val="10"/>
        <rFont val="Arial"/>
        <family val="2"/>
      </rPr>
      <t>(L. Llorens) Popper &amp; M.F. Watson</t>
    </r>
  </si>
  <si>
    <t>Api d’En Bermejo</t>
  </si>
  <si>
    <r>
      <rPr>
        <i/>
        <sz val="10"/>
        <rFont val="Arial"/>
        <family val="2"/>
      </rPr>
      <t>Helosciadium repens</t>
    </r>
    <r>
      <rPr>
        <sz val="10"/>
        <rFont val="Arial"/>
        <family val="2"/>
      </rPr>
      <t xml:space="preserve"> (Jacq.) W.D.J. Koch</t>
    </r>
  </si>
  <si>
    <t>Aquilegia paui</t>
  </si>
  <si>
    <r>
      <rPr>
        <i/>
        <sz val="10"/>
        <rFont val="Arial"/>
        <family val="2"/>
      </rPr>
      <t>Aquilegia paui</t>
    </r>
    <r>
      <rPr>
        <sz val="10"/>
        <rFont val="Arial"/>
        <family val="2"/>
      </rPr>
      <t xml:space="preserve"> Font Quer</t>
    </r>
  </si>
  <si>
    <r>
      <rPr>
        <i/>
        <sz val="10"/>
        <rFont val="Arial"/>
        <family val="2"/>
      </rPr>
      <t>Aquilegia pyrenaica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cazorlensis</t>
    </r>
    <r>
      <rPr>
        <sz val="10"/>
        <rFont val="Arial"/>
        <family val="2"/>
      </rPr>
      <t xml:space="preserve"> (Heywood) Galiano &amp; Rivas Mart.</t>
    </r>
  </si>
  <si>
    <r>
      <rPr>
        <i/>
        <sz val="10"/>
        <rFont val="Arial"/>
        <family val="2"/>
      </rPr>
      <t>Arenaria alfacarensis</t>
    </r>
    <r>
      <rPr>
        <sz val="10"/>
        <rFont val="Arial"/>
        <family val="2"/>
      </rPr>
      <t xml:space="preserve"> Pamp.</t>
    </r>
  </si>
  <si>
    <r>
      <rPr>
        <i/>
        <sz val="10"/>
        <rFont val="Arial"/>
        <family val="2"/>
      </rPr>
      <t>Arenaria nevadensis</t>
    </r>
    <r>
      <rPr>
        <sz val="10"/>
        <rFont val="Arial"/>
        <family val="2"/>
      </rPr>
      <t xml:space="preserve"> Boiss. &amp; Reut.</t>
    </r>
  </si>
  <si>
    <t>Argyranthemum lidii</t>
  </si>
  <si>
    <r>
      <rPr>
        <i/>
        <sz val="10"/>
        <rFont val="Arial"/>
        <family val="2"/>
      </rPr>
      <t>Argyranthemum lidii</t>
    </r>
    <r>
      <rPr>
        <sz val="10"/>
        <rFont val="Arial"/>
        <family val="2"/>
      </rPr>
      <t xml:space="preserve"> Humphries</t>
    </r>
  </si>
  <si>
    <t>Margarita de Lid</t>
  </si>
  <si>
    <t>Argyranthemum sundingii</t>
  </si>
  <si>
    <r>
      <rPr>
        <i/>
        <sz val="10"/>
        <rFont val="Arial"/>
        <family val="2"/>
      </rPr>
      <t>Argyranthemum sundingii</t>
    </r>
    <r>
      <rPr>
        <sz val="10"/>
        <rFont val="Arial"/>
        <family val="2"/>
      </rPr>
      <t xml:space="preserve"> L.Borgen</t>
    </r>
  </si>
  <si>
    <t>Magarza de Sunding</t>
  </si>
  <si>
    <t>Argyranthemum winteri</t>
  </si>
  <si>
    <r>
      <rPr>
        <i/>
        <sz val="10"/>
        <rFont val="Arial"/>
        <family val="2"/>
      </rPr>
      <t>Argyranthemum winteri</t>
    </r>
    <r>
      <rPr>
        <sz val="10"/>
        <rFont val="Arial"/>
        <family val="2"/>
      </rPr>
      <t xml:space="preserve"> (Svent.) Humphries</t>
    </r>
  </si>
  <si>
    <t>Margarita de Jandía</t>
  </si>
  <si>
    <t>Armeria euscadiensis</t>
  </si>
  <si>
    <r>
      <rPr>
        <i/>
        <sz val="10"/>
        <rFont val="Arial"/>
        <family val="2"/>
      </rPr>
      <t>Armeria euscadiensis</t>
    </r>
    <r>
      <rPr>
        <sz val="10"/>
        <rFont val="Arial"/>
        <family val="2"/>
      </rPr>
      <t xml:space="preserve"> Donad. &amp; Vivant</t>
    </r>
  </si>
  <si>
    <r>
      <rPr>
        <i/>
        <sz val="10"/>
        <rFont val="Arial"/>
        <family val="2"/>
      </rPr>
      <t>Armeria velutina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</si>
  <si>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Artemisia granatensis</t>
    </r>
    <r>
      <rPr>
        <sz val="10"/>
        <rFont val="Arial"/>
        <family val="2"/>
      </rPr>
      <t xml:space="preserve"> Boiss.</t>
    </r>
  </si>
  <si>
    <t>Asparagus fallax</t>
  </si>
  <si>
    <r>
      <rPr>
        <i/>
        <sz val="10"/>
        <rFont val="Arial"/>
        <family val="2"/>
      </rPr>
      <t>Asparagus fallax</t>
    </r>
    <r>
      <rPr>
        <sz val="10"/>
        <rFont val="Arial"/>
        <family val="2"/>
      </rPr>
      <t xml:space="preserve"> Svent.</t>
    </r>
  </si>
  <si>
    <t>Esparraguera de monteverde</t>
  </si>
  <si>
    <t>Asparagus macrorrhizus</t>
  </si>
  <si>
    <r>
      <rPr>
        <i/>
        <sz val="10"/>
        <rFont val="Arial"/>
        <family val="2"/>
      </rPr>
      <t>Asparagus macrorrhizus</t>
    </r>
    <r>
      <rPr>
        <sz val="10"/>
        <rFont val="Arial"/>
        <family val="2"/>
      </rPr>
      <t xml:space="preserve"> Pedrol, Regalado &amp; López-Encina</t>
    </r>
  </si>
  <si>
    <t>Esparraguera del Mar Menor</t>
  </si>
  <si>
    <t>Asplenium hemionitis</t>
  </si>
  <si>
    <r>
      <rPr>
        <i/>
        <sz val="10"/>
        <rFont val="Arial"/>
        <family val="2"/>
      </rPr>
      <t>Asplenium hemionitis</t>
    </r>
    <r>
      <rPr>
        <sz val="10"/>
        <rFont val="Arial"/>
        <family val="2"/>
      </rPr>
      <t xml:space="preserve"> L.</t>
    </r>
  </si>
  <si>
    <t>Hierba candíl</t>
  </si>
  <si>
    <t>Aster pyrenaeus</t>
  </si>
  <si>
    <r>
      <rPr>
        <i/>
        <sz val="10"/>
        <rFont val="Arial"/>
        <family val="2"/>
      </rPr>
      <t>Aster pyrenaeus</t>
    </r>
    <r>
      <rPr>
        <sz val="10"/>
        <rFont val="Arial"/>
        <family val="2"/>
      </rPr>
      <t xml:space="preserve"> DC.</t>
    </r>
  </si>
  <si>
    <t>Estrella de los Pirineos</t>
  </si>
  <si>
    <t>Astragalus nitidiflorus</t>
  </si>
  <si>
    <r>
      <rPr>
        <i/>
        <sz val="10"/>
        <rFont val="Arial"/>
        <family val="2"/>
      </rPr>
      <t>Astragalus nitidiflorus</t>
    </r>
    <r>
      <rPr>
        <sz val="10"/>
        <rFont val="Arial"/>
        <family val="2"/>
      </rPr>
      <t xml:space="preserve"> Jiménez Mun. &amp; Pau</t>
    </r>
  </si>
  <si>
    <r>
      <rPr>
        <i/>
        <sz val="10"/>
        <rFont val="Arial"/>
        <family val="2"/>
      </rPr>
      <t>Astragalus tremolsianus</t>
    </r>
    <r>
      <rPr>
        <sz val="10"/>
        <rFont val="Arial"/>
        <family val="2"/>
      </rPr>
      <t xml:space="preserve"> Pau</t>
    </r>
  </si>
  <si>
    <t>Atractylis arbuscula</t>
  </si>
  <si>
    <r>
      <rPr>
        <i/>
        <sz val="10"/>
        <rFont val="Arial"/>
        <family val="2"/>
      </rPr>
      <t>Atractylis arbuscula</t>
    </r>
    <r>
      <rPr>
        <sz val="10"/>
        <rFont val="Arial"/>
        <family val="2"/>
      </rPr>
      <t xml:space="preserve"> Svent. &amp; Michaelis</t>
    </r>
  </si>
  <si>
    <t>Cancelillo</t>
  </si>
  <si>
    <t>Atractylis preauxiana</t>
  </si>
  <si>
    <r>
      <rPr>
        <i/>
        <sz val="10"/>
        <rFont val="Arial"/>
        <family val="2"/>
      </rPr>
      <t>Atractylis preauxiana</t>
    </r>
    <r>
      <rPr>
        <sz val="10"/>
        <rFont val="Arial"/>
        <family val="2"/>
      </rPr>
      <t xml:space="preserve"> Sch.Bip.</t>
    </r>
  </si>
  <si>
    <t>Piña de mar</t>
  </si>
  <si>
    <r>
      <rPr>
        <i/>
        <sz val="10"/>
        <rFont val="Arial"/>
        <family val="2"/>
      </rPr>
      <t xml:space="preserve">Atropa baetica </t>
    </r>
    <r>
      <rPr>
        <sz val="10"/>
        <rFont val="Arial"/>
        <family val="2"/>
      </rPr>
      <t>Willk.</t>
    </r>
  </si>
  <si>
    <r>
      <rPr>
        <i/>
        <sz val="10"/>
        <rFont val="Arial"/>
        <family val="2"/>
      </rPr>
      <t>Avellara fistulosa</t>
    </r>
    <r>
      <rPr>
        <sz val="10"/>
        <rFont val="Arial"/>
        <family val="2"/>
      </rPr>
      <t xml:space="preserve"> (Brot.) Blanca &amp; C.Díaz</t>
    </r>
  </si>
  <si>
    <t>Chicoria hueca</t>
  </si>
  <si>
    <t>Bencomia brachystachya</t>
  </si>
  <si>
    <r>
      <rPr>
        <i/>
        <sz val="10"/>
        <rFont val="Arial"/>
        <family val="2"/>
      </rPr>
      <t>Bencomia brachystachya</t>
    </r>
    <r>
      <rPr>
        <sz val="10"/>
        <rFont val="Arial"/>
        <family val="2"/>
      </rPr>
      <t xml:space="preserve"> Nordborg</t>
    </r>
  </si>
  <si>
    <t>Bencomia de Tirajana</t>
  </si>
  <si>
    <t>Bencomia exstipulata</t>
  </si>
  <si>
    <r>
      <rPr>
        <i/>
        <sz val="10"/>
        <rFont val="Arial"/>
        <family val="2"/>
      </rPr>
      <t>Bencomia exstipulata</t>
    </r>
    <r>
      <rPr>
        <sz val="10"/>
        <rFont val="Arial"/>
        <family val="2"/>
      </rPr>
      <t xml:space="preserve"> Svent.</t>
    </r>
  </si>
  <si>
    <t>Bencomia de cumbre</t>
  </si>
  <si>
    <t>Bencomia sphaerocarpa</t>
  </si>
  <si>
    <r>
      <rPr>
        <i/>
        <sz val="10"/>
        <rFont val="Arial"/>
        <family val="2"/>
      </rPr>
      <t>Bencomia sphaerocarpa</t>
    </r>
    <r>
      <rPr>
        <sz val="10"/>
        <rFont val="Arial"/>
        <family val="2"/>
      </rPr>
      <t xml:space="preserve"> Svent.</t>
    </r>
  </si>
  <si>
    <t>Bencomia herreña</t>
  </si>
  <si>
    <t>Boleum asperum</t>
  </si>
  <si>
    <r>
      <rPr>
        <i/>
        <sz val="10"/>
        <rFont val="Arial"/>
        <family val="2"/>
      </rPr>
      <t xml:space="preserve">Vella aspera </t>
    </r>
    <r>
      <rPr>
        <sz val="10"/>
        <rFont val="Arial"/>
        <family val="2"/>
      </rPr>
      <t>Pers.</t>
    </r>
  </si>
  <si>
    <t xml:space="preserve">Asperillo </t>
  </si>
  <si>
    <t>Borderea chouardii</t>
  </si>
  <si>
    <r>
      <rPr>
        <i/>
        <sz val="10"/>
        <rFont val="Arial"/>
        <family val="2"/>
      </rPr>
      <t>Dioscorea chouardii</t>
    </r>
    <r>
      <rPr>
        <sz val="10"/>
        <rFont val="Arial"/>
        <family val="2"/>
      </rPr>
      <t xml:space="preserve"> Gausen</t>
    </r>
  </si>
  <si>
    <t>Botrychium matricariifolium</t>
  </si>
  <si>
    <r>
      <rPr>
        <i/>
        <sz val="10"/>
        <rFont val="Arial"/>
        <family val="2"/>
      </rPr>
      <t>Botrychium matricariifolium</t>
    </r>
    <r>
      <rPr>
        <sz val="10"/>
        <rFont val="Arial"/>
        <family val="2"/>
      </rPr>
      <t xml:space="preserve"> (Retz.) Koch</t>
    </r>
  </si>
  <si>
    <t>Bruchia vogesiaca</t>
  </si>
  <si>
    <r>
      <rPr>
        <i/>
        <sz val="10"/>
        <rFont val="Arial"/>
        <family val="2"/>
      </rPr>
      <t>Bruchia vogesiaca</t>
    </r>
    <r>
      <rPr>
        <sz val="10"/>
        <rFont val="Arial"/>
        <family val="2"/>
      </rPr>
      <t xml:space="preserve"> Schwägr.</t>
    </r>
  </si>
  <si>
    <t>Bupleurum handiense</t>
  </si>
  <si>
    <r>
      <rPr>
        <i/>
        <sz val="10"/>
        <rFont val="Arial"/>
        <family val="2"/>
      </rPr>
      <t>Bupleurum handiense</t>
    </r>
    <r>
      <rPr>
        <sz val="10"/>
        <rFont val="Arial"/>
        <family val="2"/>
      </rPr>
      <t xml:space="preserve"> (Bolle) G.Kunkel</t>
    </r>
  </si>
  <si>
    <t>Anís de Jandía</t>
  </si>
  <si>
    <t>Buxbaumia viridis</t>
  </si>
  <si>
    <r>
      <rPr>
        <i/>
        <sz val="10"/>
        <rFont val="Arial"/>
        <family val="2"/>
      </rPr>
      <t>Buxbaumia viridis</t>
    </r>
    <r>
      <rPr>
        <sz val="10"/>
        <rFont val="Arial"/>
        <family val="2"/>
      </rPr>
      <t xml:space="preserve"> (Moug. ex Lam. &amp; DC.) Brid. ex Moug. &amp; Nestl.</t>
    </r>
  </si>
  <si>
    <t>Caralluma burchardii</t>
  </si>
  <si>
    <r>
      <rPr>
        <i/>
        <sz val="10"/>
        <rFont val="Arial"/>
        <family val="2"/>
      </rPr>
      <t xml:space="preserve">Apteranthes burchardii </t>
    </r>
    <r>
      <rPr>
        <sz val="10"/>
        <rFont val="Arial"/>
        <family val="2"/>
      </rPr>
      <t>(N.E. Br.) Plowes</t>
    </r>
  </si>
  <si>
    <t>Cuernúa</t>
  </si>
  <si>
    <t>Carduncellus dianius</t>
  </si>
  <si>
    <r>
      <rPr>
        <i/>
        <sz val="10"/>
        <rFont val="Arial"/>
        <family val="2"/>
      </rPr>
      <t>Carduncellus dianius</t>
    </r>
    <r>
      <rPr>
        <sz val="10"/>
        <rFont val="Arial"/>
        <family val="2"/>
      </rPr>
      <t xml:space="preserve"> Webb</t>
    </r>
  </si>
  <si>
    <t>Cardón</t>
  </si>
  <si>
    <t>Baleares</t>
  </si>
  <si>
    <r>
      <rPr>
        <i/>
        <sz val="10"/>
        <rFont val="Arial"/>
        <family val="2"/>
      </rPr>
      <t>Carduus myriacanthus</t>
    </r>
    <r>
      <rPr>
        <sz val="10"/>
        <rFont val="Arial"/>
        <family val="2"/>
      </rPr>
      <t xml:space="preserve"> DC.</t>
    </r>
  </si>
  <si>
    <t>Caulerpa ollivieri</t>
  </si>
  <si>
    <r>
      <t xml:space="preserve">Caulerpa prolifera </t>
    </r>
    <r>
      <rPr>
        <sz val="10"/>
        <rFont val="Arial"/>
        <family val="2"/>
      </rPr>
      <t>(Forsskál) J.V.Lamouroux</t>
    </r>
  </si>
  <si>
    <t>Centaurea avilae</t>
  </si>
  <si>
    <r>
      <rPr>
        <i/>
        <sz val="10"/>
        <rFont val="Arial"/>
        <family val="2"/>
      </rPr>
      <t>Centaurea avilae</t>
    </r>
    <r>
      <rPr>
        <sz val="10"/>
        <rFont val="Arial"/>
        <family val="2"/>
      </rPr>
      <t xml:space="preserve"> Pau</t>
    </r>
  </si>
  <si>
    <t>Centaurea de Gredos</t>
  </si>
  <si>
    <t>Centaurea borjae</t>
  </si>
  <si>
    <r>
      <rPr>
        <i/>
        <sz val="10"/>
        <rFont val="Arial"/>
        <family val="2"/>
      </rPr>
      <t>Centaurea borjae</t>
    </r>
    <r>
      <rPr>
        <sz val="10"/>
        <rFont val="Arial"/>
        <family val="2"/>
      </rPr>
      <t xml:space="preserve"> Valdés Berm. &amp; Rivas Goday</t>
    </r>
  </si>
  <si>
    <r>
      <rPr>
        <i/>
        <sz val="10"/>
        <rFont val="Arial"/>
        <family val="2"/>
      </rPr>
      <t>Centaurea citricolor</t>
    </r>
    <r>
      <rPr>
        <sz val="10"/>
        <rFont val="Arial"/>
        <family val="2"/>
      </rPr>
      <t xml:space="preserve"> Font Quer</t>
    </r>
  </si>
  <si>
    <r>
      <rPr>
        <i/>
        <sz val="10"/>
        <rFont val="Arial"/>
        <family val="2"/>
      </rPr>
      <t>Centaurea gadorensis</t>
    </r>
    <r>
      <rPr>
        <sz val="10"/>
        <rFont val="Arial"/>
        <family val="2"/>
      </rPr>
      <t xml:space="preserve"> Blanca</t>
    </r>
  </si>
  <si>
    <t>Centaurea boissieri subsp. spachii</t>
  </si>
  <si>
    <r>
      <rPr>
        <i/>
        <sz val="10"/>
        <rFont val="Arial"/>
        <family val="2"/>
      </rPr>
      <t xml:space="preserve">Centaurea pinnata </t>
    </r>
    <r>
      <rPr>
        <sz val="10"/>
        <rFont val="Arial"/>
        <family val="2"/>
      </rPr>
      <t>Vicioso</t>
    </r>
  </si>
  <si>
    <t>Centaurea pulvinata</t>
  </si>
  <si>
    <r>
      <rPr>
        <i/>
        <sz val="10"/>
        <rFont val="Arial"/>
        <family val="2"/>
      </rPr>
      <t>Centaurea pulvinata</t>
    </r>
    <r>
      <rPr>
        <sz val="10"/>
        <rFont val="Arial"/>
        <family val="2"/>
      </rPr>
      <t xml:space="preserve"> (Blanca) Blanca</t>
    </r>
  </si>
  <si>
    <t>Centaurium rigualii</t>
  </si>
  <si>
    <r>
      <rPr>
        <i/>
        <sz val="10"/>
        <rFont val="Arial"/>
        <family val="2"/>
      </rPr>
      <t xml:space="preserve">Centaurium barrelieri </t>
    </r>
    <r>
      <rPr>
        <sz val="10"/>
        <rFont val="Arial"/>
        <family val="2"/>
      </rPr>
      <t>(Dufour) Font Quer &amp; Rothm.</t>
    </r>
  </si>
  <si>
    <t>Centaurium somedanum</t>
  </si>
  <si>
    <r>
      <rPr>
        <i/>
        <sz val="10"/>
        <rFont val="Arial"/>
        <family val="2"/>
      </rPr>
      <t>Centaurium somedanum</t>
    </r>
    <r>
      <rPr>
        <sz val="10"/>
        <rFont val="Arial"/>
        <family val="2"/>
      </rPr>
      <t xml:space="preserve"> M.Laínz</t>
    </r>
  </si>
  <si>
    <t>Centaura de Somiedo</t>
  </si>
  <si>
    <t>Orden AAA/1351/2016</t>
  </si>
  <si>
    <t>LESRPE (Real Decreto139/2011)</t>
  </si>
  <si>
    <t>Cerinthe glabra</t>
  </si>
  <si>
    <r>
      <rPr>
        <i/>
        <sz val="10"/>
        <rFont val="Arial"/>
        <family val="2"/>
      </rPr>
      <t>Cerinthe glabra</t>
    </r>
    <r>
      <rPr>
        <sz val="10"/>
        <rFont val="Arial"/>
        <family val="2"/>
      </rPr>
      <t xml:space="preserve"> Mill.</t>
    </r>
  </si>
  <si>
    <t>Ceropegia chrysantha</t>
  </si>
  <si>
    <r>
      <rPr>
        <i/>
        <sz val="10"/>
        <rFont val="Arial"/>
        <family val="2"/>
      </rPr>
      <t>Ceropegia dichotoma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krainzii</t>
    </r>
    <r>
      <rPr>
        <sz val="10"/>
        <rFont val="Arial"/>
        <family val="2"/>
      </rPr>
      <t xml:space="preserve"> (Svent.) Bruyns</t>
    </r>
  </si>
  <si>
    <t>Ceropegia dichotoma subsp. krainzii</t>
  </si>
  <si>
    <t>Cardoncillo gomero</t>
  </si>
  <si>
    <t>Cheirolophus duranii</t>
  </si>
  <si>
    <r>
      <rPr>
        <i/>
        <sz val="10"/>
        <rFont val="Arial"/>
        <family val="2"/>
      </rPr>
      <t>Cheirolophus duranii</t>
    </r>
    <r>
      <rPr>
        <sz val="10"/>
        <rFont val="Arial"/>
        <family val="2"/>
      </rPr>
      <t xml:space="preserve"> (Burchard) Holub</t>
    </r>
  </si>
  <si>
    <t>Cabezón herreño</t>
  </si>
  <si>
    <t>Cheirolophus falcisectus</t>
  </si>
  <si>
    <r>
      <rPr>
        <i/>
        <sz val="10"/>
        <rFont val="Arial"/>
        <family val="2"/>
      </rPr>
      <t>Cheirolophus falcisectus</t>
    </r>
    <r>
      <rPr>
        <sz val="10"/>
        <rFont val="Arial"/>
        <family val="2"/>
      </rPr>
      <t xml:space="preserve"> Montelongo &amp; Moraleda</t>
    </r>
  </si>
  <si>
    <t>Cabezón de Güi-Güí</t>
  </si>
  <si>
    <t>Cheirolophus ghomerytus</t>
  </si>
  <si>
    <r>
      <t xml:space="preserve">Cheirolophus ghomerythus </t>
    </r>
    <r>
      <rPr>
        <sz val="10"/>
        <rFont val="Arial"/>
        <family val="2"/>
      </rPr>
      <t>(Svent.) Holub</t>
    </r>
  </si>
  <si>
    <t>Cabezón gomero</t>
  </si>
  <si>
    <t>Cheirolophus junonianus</t>
  </si>
  <si>
    <r>
      <rPr>
        <i/>
        <sz val="10"/>
        <rFont val="Arial"/>
        <family val="2"/>
      </rPr>
      <t>Cheirolophus junonianus</t>
    </r>
    <r>
      <rPr>
        <sz val="10"/>
        <rFont val="Arial"/>
        <family val="2"/>
      </rPr>
      <t xml:space="preserve"> (Svent.) Holub</t>
    </r>
  </si>
  <si>
    <t>Cabezón de Teneguía</t>
  </si>
  <si>
    <t>Cheirolophus metlesicsii</t>
  </si>
  <si>
    <r>
      <rPr>
        <i/>
        <sz val="10"/>
        <rFont val="Arial"/>
        <family val="2"/>
      </rPr>
      <t>Cheirolophus metlesicsii</t>
    </r>
    <r>
      <rPr>
        <sz val="10"/>
        <rFont val="Arial"/>
        <family val="2"/>
      </rPr>
      <t xml:space="preserve"> Montelongo</t>
    </r>
  </si>
  <si>
    <t>Cabezón de Añavingo</t>
  </si>
  <si>
    <t>Cheirolophus santos-abreui</t>
  </si>
  <si>
    <r>
      <rPr>
        <i/>
        <sz val="10"/>
        <rFont val="Arial"/>
        <family val="2"/>
      </rPr>
      <t>Cheirolophus santos-abreui</t>
    </r>
    <r>
      <rPr>
        <sz val="10"/>
        <rFont val="Arial"/>
        <family val="2"/>
      </rPr>
      <t xml:space="preserve"> A.Santos</t>
    </r>
  </si>
  <si>
    <t>Cabezón de las Nieves</t>
  </si>
  <si>
    <t>Cheirolophus satarataensis</t>
  </si>
  <si>
    <r>
      <rPr>
        <i/>
        <sz val="10"/>
        <rFont val="Arial"/>
        <family val="2"/>
      </rPr>
      <t>Cheirolophus satarataensis</t>
    </r>
    <r>
      <rPr>
        <sz val="10"/>
        <rFont val="Arial"/>
        <family val="2"/>
      </rPr>
      <t xml:space="preserve"> (Svent.) Holub</t>
    </r>
  </si>
  <si>
    <t>Cabezón de Sataratá</t>
  </si>
  <si>
    <t>Cheirolophus sventenii subsp. gracilis</t>
  </si>
  <si>
    <r>
      <rPr>
        <i/>
        <sz val="10"/>
        <rFont val="Arial"/>
        <family val="2"/>
      </rPr>
      <t>Cheirolophus sventenii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gracilis</t>
    </r>
    <r>
      <rPr>
        <sz val="10"/>
        <rFont val="Arial"/>
        <family val="2"/>
      </rPr>
      <t xml:space="preserve"> A.Santos</t>
    </r>
  </si>
  <si>
    <t>Cabezón de Tijarafe</t>
  </si>
  <si>
    <t>Cheirolophus tagananensis</t>
  </si>
  <si>
    <r>
      <rPr>
        <i/>
        <sz val="10"/>
        <rFont val="Arial"/>
        <family val="2"/>
      </rPr>
      <t xml:space="preserve">Cheirolophus tagananensis </t>
    </r>
    <r>
      <rPr>
        <sz val="10"/>
        <rFont val="Arial"/>
        <family val="2"/>
      </rPr>
      <t>(Svent.) Holub</t>
    </r>
  </si>
  <si>
    <t>Cabezón de Taganana</t>
  </si>
  <si>
    <r>
      <rPr>
        <i/>
        <sz val="10"/>
        <rFont val="Arial"/>
        <family val="2"/>
      </rPr>
      <t>Christella dentata</t>
    </r>
    <r>
      <rPr>
        <sz val="10"/>
        <rFont val="Arial"/>
        <family val="2"/>
      </rPr>
      <t xml:space="preserve"> (Forssk.) Brownsey &amp; Jermy</t>
    </r>
  </si>
  <si>
    <t>Helecha</t>
  </si>
  <si>
    <t>Cicer canariensis</t>
  </si>
  <si>
    <r>
      <rPr>
        <i/>
        <sz val="10"/>
        <rFont val="Arial"/>
        <family val="2"/>
      </rPr>
      <t>Cicer canariense</t>
    </r>
    <r>
      <rPr>
        <sz val="10"/>
        <rFont val="Arial"/>
        <family val="2"/>
      </rPr>
      <t xml:space="preserve"> A.Santos &amp; G.P.Lewis</t>
    </r>
  </si>
  <si>
    <t>Garbancera canaria</t>
  </si>
  <si>
    <t>Cistus chinamadensis</t>
  </si>
  <si>
    <r>
      <rPr>
        <i/>
        <sz val="10"/>
        <rFont val="Arial"/>
        <family val="2"/>
      </rPr>
      <t>Cistus chinamadensis</t>
    </r>
    <r>
      <rPr>
        <sz val="10"/>
        <rFont val="Arial"/>
        <family val="2"/>
      </rPr>
      <t xml:space="preserve"> Bañares &amp; P.Romero</t>
    </r>
  </si>
  <si>
    <t>Amagante de Chinamada</t>
  </si>
  <si>
    <t>Cistus heterophyllus (= C.h.carthaginensis)</t>
  </si>
  <si>
    <r>
      <rPr>
        <i/>
        <sz val="10"/>
        <rFont val="Arial"/>
        <family val="2"/>
      </rPr>
      <t>Cistus heterophyllus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carthaginensis</t>
    </r>
    <r>
      <rPr>
        <sz val="10"/>
        <rFont val="Arial"/>
        <family val="2"/>
      </rPr>
      <t xml:space="preserve"> (Pau) M.B.Crespo &amp; Mateo</t>
    </r>
  </si>
  <si>
    <t>Jara de Cartagena</t>
  </si>
  <si>
    <t>Coincya rupestris subsp. rupestris</t>
  </si>
  <si>
    <r>
      <rPr>
        <i/>
        <sz val="10"/>
        <rFont val="Arial"/>
        <family val="2"/>
      </rPr>
      <t xml:space="preserve">Coincya rupestris </t>
    </r>
    <r>
      <rPr>
        <sz val="10"/>
        <rFont val="Arial"/>
        <family val="2"/>
      </rPr>
      <t xml:space="preserve">Porta &amp; Rigo ex Rouy subsp. </t>
    </r>
    <r>
      <rPr>
        <i/>
        <sz val="10"/>
        <rFont val="Arial"/>
        <family val="2"/>
      </rPr>
      <t>rupestris</t>
    </r>
  </si>
  <si>
    <t>Convolvulus caput-medusae</t>
  </si>
  <si>
    <r>
      <rPr>
        <i/>
        <sz val="10"/>
        <rFont val="Arial"/>
        <family val="2"/>
      </rPr>
      <t>Convolvulus caput-medusae</t>
    </r>
    <r>
      <rPr>
        <sz val="10"/>
        <rFont val="Arial"/>
        <family val="2"/>
      </rPr>
      <t xml:space="preserve"> Lowe</t>
    </r>
  </si>
  <si>
    <t>Chaparro canario</t>
  </si>
  <si>
    <t>Convolvulus lopezsocasi   </t>
  </si>
  <si>
    <r>
      <rPr>
        <i/>
        <sz val="10"/>
        <rFont val="Arial"/>
        <family val="2"/>
      </rPr>
      <t xml:space="preserve">Convolvulus lopezsocasi </t>
    </r>
    <r>
      <rPr>
        <sz val="10"/>
        <rFont val="Arial"/>
        <family val="2"/>
      </rPr>
      <t>Svent.</t>
    </r>
  </si>
  <si>
    <t>Corregüelón de Famara</t>
  </si>
  <si>
    <t>Convolvulus subauriculatus</t>
  </si>
  <si>
    <r>
      <rPr>
        <i/>
        <sz val="10"/>
        <rFont val="Arial"/>
        <family val="2"/>
      </rPr>
      <t>Convolvulus subauriculatus</t>
    </r>
    <r>
      <rPr>
        <sz val="10"/>
        <rFont val="Arial"/>
        <family val="2"/>
      </rPr>
      <t xml:space="preserve"> (Burchard) Linding.</t>
    </r>
  </si>
  <si>
    <t>Corregüelón gomero</t>
  </si>
  <si>
    <r>
      <rPr>
        <i/>
        <sz val="10"/>
        <rFont val="Arial"/>
        <family val="2"/>
      </rPr>
      <t>Lepidium navasii</t>
    </r>
    <r>
      <rPr>
        <sz val="10"/>
        <rFont val="Arial"/>
        <family val="2"/>
      </rPr>
      <t xml:space="preserve"> (Pau) Al-Shehbaz</t>
    </r>
  </si>
  <si>
    <t>Mastuerzo de Gádor</t>
  </si>
  <si>
    <t>Crambe arborea</t>
  </si>
  <si>
    <r>
      <rPr>
        <i/>
        <sz val="10"/>
        <rFont val="Arial"/>
        <family val="2"/>
      </rPr>
      <t xml:space="preserve">Crambe arborea </t>
    </r>
    <r>
      <rPr>
        <sz val="10"/>
        <rFont val="Arial"/>
        <family val="2"/>
      </rPr>
      <t>Christ</t>
    </r>
  </si>
  <si>
    <t>Colderrisco de Güimar</t>
  </si>
  <si>
    <t>Crambe laevigata</t>
  </si>
  <si>
    <r>
      <rPr>
        <i/>
        <sz val="10"/>
        <rFont val="Arial"/>
        <family val="2"/>
      </rPr>
      <t xml:space="preserve">Crambe laevigata </t>
    </r>
    <r>
      <rPr>
        <sz val="10"/>
        <rFont val="Arial"/>
        <family val="2"/>
      </rPr>
      <t>Christ</t>
    </r>
  </si>
  <si>
    <t>Colderrisco de Teno</t>
  </si>
  <si>
    <t>Crambe scoparia</t>
  </si>
  <si>
    <r>
      <rPr>
        <i/>
        <sz val="10"/>
        <rFont val="Arial"/>
        <family val="2"/>
      </rPr>
      <t>Crambe scoparia</t>
    </r>
    <r>
      <rPr>
        <sz val="10"/>
        <rFont val="Arial"/>
        <family val="2"/>
      </rPr>
      <t xml:space="preserve"> Svent.</t>
    </r>
  </si>
  <si>
    <t>Colderrisco de La Aldea</t>
  </si>
  <si>
    <t>Crambe sventenii</t>
  </si>
  <si>
    <r>
      <rPr>
        <i/>
        <sz val="10"/>
        <rFont val="Arial"/>
        <family val="2"/>
      </rPr>
      <t>Crambe sventenii</t>
    </r>
    <r>
      <rPr>
        <sz val="10"/>
        <rFont val="Arial"/>
        <family val="2"/>
      </rPr>
      <t xml:space="preserve"> Bramwell &amp; Sunding</t>
    </r>
  </si>
  <si>
    <t>Colino majorero</t>
  </si>
  <si>
    <r>
      <rPr>
        <i/>
        <sz val="10"/>
        <rFont val="Arial"/>
        <family val="2"/>
      </rPr>
      <t>Crepis granatensis</t>
    </r>
    <r>
      <rPr>
        <sz val="10"/>
        <rFont val="Arial"/>
        <family val="2"/>
      </rPr>
      <t xml:space="preserve"> (Willk.) Blanca &amp; Cueto</t>
    </r>
  </si>
  <si>
    <t>Crepis pusilla</t>
  </si>
  <si>
    <r>
      <rPr>
        <i/>
        <sz val="10"/>
        <rFont val="Arial"/>
        <family val="2"/>
      </rPr>
      <t>Crepis pusilla</t>
    </r>
    <r>
      <rPr>
        <sz val="10"/>
        <rFont val="Arial"/>
        <family val="2"/>
      </rPr>
      <t xml:space="preserve"> (Sommier) Merxm.</t>
    </r>
  </si>
  <si>
    <r>
      <rPr>
        <i/>
        <sz val="10"/>
        <rFont val="Arial"/>
        <family val="2"/>
      </rPr>
      <t>Culcita macrocarpa</t>
    </r>
    <r>
      <rPr>
        <sz val="10"/>
        <rFont val="Arial"/>
        <family val="2"/>
      </rPr>
      <t xml:space="preserve"> C.Presl</t>
    </r>
  </si>
  <si>
    <t>Helecho de colchonero</t>
  </si>
  <si>
    <r>
      <rPr>
        <i/>
        <sz val="10"/>
        <rFont val="Arial"/>
        <family val="2"/>
      </rPr>
      <t>Cymodocea nodosa</t>
    </r>
    <r>
      <rPr>
        <sz val="10"/>
        <rFont val="Arial"/>
        <family val="2"/>
      </rPr>
      <t xml:space="preserve"> (Ucria) Asch.</t>
    </r>
  </si>
  <si>
    <t>Mediterráneo y Atlántico de la Península Ibérica</t>
  </si>
  <si>
    <t>Cypripedium calceolus</t>
  </si>
  <si>
    <r>
      <rPr>
        <i/>
        <sz val="10"/>
        <rFont val="Arial"/>
        <family val="2"/>
      </rPr>
      <t>Cypripedium calceolus</t>
    </r>
    <r>
      <rPr>
        <sz val="10"/>
        <rFont val="Arial"/>
        <family val="2"/>
      </rPr>
      <t xml:space="preserve"> L.</t>
    </r>
  </si>
  <si>
    <t>Zapatito de dama, Esclops</t>
  </si>
  <si>
    <t>(2) Cystoseira sp.</t>
  </si>
  <si>
    <r>
      <rPr>
        <i/>
        <sz val="10"/>
        <rFont val="Arial"/>
        <family val="2"/>
      </rPr>
      <t>Cystoseira</t>
    </r>
    <r>
      <rPr>
        <sz val="10"/>
        <rFont val="Arial"/>
        <family val="2"/>
      </rPr>
      <t xml:space="preserve"> C.Agardh,1820</t>
    </r>
  </si>
  <si>
    <t>género</t>
  </si>
  <si>
    <t>Orden AAA/75/2012</t>
  </si>
  <si>
    <t>Cystoseira abies-marina</t>
  </si>
  <si>
    <r>
      <rPr>
        <i/>
        <sz val="10"/>
        <rFont val="Arial"/>
        <family val="2"/>
      </rPr>
      <t>Gongolaria abies-marina</t>
    </r>
    <r>
      <rPr>
        <sz val="10"/>
        <rFont val="Arial"/>
        <family val="2"/>
      </rPr>
      <t xml:space="preserve"> (S.G.Gmelin) Kuntze 1891</t>
    </r>
  </si>
  <si>
    <t>Mujo amarillo</t>
  </si>
  <si>
    <t>Daphne alpina</t>
  </si>
  <si>
    <r>
      <rPr>
        <i/>
        <sz val="10"/>
        <rFont val="Arial"/>
        <family val="2"/>
      </rPr>
      <t>Daphne alpina</t>
    </r>
    <r>
      <rPr>
        <sz val="10"/>
        <rFont val="Arial"/>
        <family val="2"/>
      </rPr>
      <t xml:space="preserve"> L.</t>
    </r>
  </si>
  <si>
    <t>Daphne rodriguezii</t>
  </si>
  <si>
    <r>
      <rPr>
        <i/>
        <sz val="10"/>
        <rFont val="Arial"/>
        <family val="2"/>
      </rPr>
      <t>Daphne rodriguezii</t>
    </r>
    <r>
      <rPr>
        <sz val="10"/>
        <rFont val="Arial"/>
        <family val="2"/>
      </rPr>
      <t xml:space="preserve"> Texidor</t>
    </r>
  </si>
  <si>
    <t>Dafne menorquí</t>
  </si>
  <si>
    <t>Delphinium bolosii</t>
  </si>
  <si>
    <r>
      <rPr>
        <i/>
        <sz val="10"/>
        <rFont val="Arial"/>
        <family val="2"/>
      </rPr>
      <t>Delphinium bolosii</t>
    </r>
    <r>
      <rPr>
        <sz val="10"/>
        <rFont val="Arial"/>
        <family val="2"/>
      </rPr>
      <t xml:space="preserve"> C.Blanché &amp; Molero</t>
    </r>
  </si>
  <si>
    <t>Esperó de Bolós</t>
  </si>
  <si>
    <t>Delphinium montanum</t>
  </si>
  <si>
    <r>
      <rPr>
        <i/>
        <sz val="10"/>
        <rFont val="Arial"/>
        <family val="2"/>
      </rPr>
      <t>Delphinium montanum</t>
    </r>
    <r>
      <rPr>
        <sz val="10"/>
        <rFont val="Arial"/>
        <family val="2"/>
      </rPr>
      <t xml:space="preserve"> DC. </t>
    </r>
  </si>
  <si>
    <t>Dendriopoterium pulidoi</t>
  </si>
  <si>
    <r>
      <rPr>
        <i/>
        <sz val="10"/>
        <rFont val="Arial"/>
        <family val="2"/>
      </rPr>
      <t>Dendriopoterium pulidoi</t>
    </r>
    <r>
      <rPr>
        <sz val="10"/>
        <rFont val="Arial"/>
        <family val="2"/>
      </rPr>
      <t xml:space="preserve"> Bramwell</t>
    </r>
  </si>
  <si>
    <t>Algafitón de La Aldea</t>
  </si>
  <si>
    <t>Dianthus rupicola</t>
  </si>
  <si>
    <r>
      <rPr>
        <i/>
        <sz val="10"/>
        <rFont val="Arial"/>
        <family val="2"/>
      </rPr>
      <t>Dianthus rupicola</t>
    </r>
    <r>
      <rPr>
        <sz val="10"/>
        <rFont val="Arial"/>
        <family val="2"/>
      </rPr>
      <t xml:space="preserve"> Biv.</t>
    </r>
  </si>
  <si>
    <r>
      <rPr>
        <i/>
        <sz val="10"/>
        <rFont val="Arial"/>
        <family val="2"/>
      </rPr>
      <t>Diplazium caudatum</t>
    </r>
    <r>
      <rPr>
        <sz val="10"/>
        <rFont val="Arial"/>
        <family val="2"/>
      </rPr>
      <t xml:space="preserve"> (Cav.) Jermy</t>
    </r>
  </si>
  <si>
    <t>Diplotaxis ibicensis</t>
  </si>
  <si>
    <r>
      <rPr>
        <i/>
        <sz val="10"/>
        <rFont val="Arial"/>
        <family val="2"/>
      </rPr>
      <t>Diplotaxis ibicensis</t>
    </r>
    <r>
      <rPr>
        <sz val="10"/>
        <rFont val="Arial"/>
        <family val="2"/>
      </rPr>
      <t xml:space="preserve"> (Pau) Gómez-Campo</t>
    </r>
  </si>
  <si>
    <r>
      <rPr>
        <i/>
        <sz val="10"/>
        <rFont val="Arial"/>
        <family val="2"/>
      </rPr>
      <t>Diplotaxis catholica</t>
    </r>
    <r>
      <rPr>
        <sz val="10"/>
        <rFont val="Arial"/>
        <family val="2"/>
      </rPr>
      <t xml:space="preserve"> (L.) DC.</t>
    </r>
  </si>
  <si>
    <t>Dorycnium spectabile</t>
  </si>
  <si>
    <r>
      <t xml:space="preserve">Lotus spectabilis </t>
    </r>
    <r>
      <rPr>
        <sz val="10"/>
        <rFont val="Arial"/>
        <family val="2"/>
      </rPr>
      <t>Ser.</t>
    </r>
  </si>
  <si>
    <t>Trébol de risco rosado</t>
  </si>
  <si>
    <t>Dracaena draco</t>
  </si>
  <si>
    <r>
      <rPr>
        <i/>
        <sz val="10"/>
        <rFont val="Arial"/>
        <family val="2"/>
      </rPr>
      <t>Dracaena draco</t>
    </r>
    <r>
      <rPr>
        <sz val="10"/>
        <rFont val="Arial"/>
        <family val="2"/>
      </rPr>
      <t xml:space="preserve"> L.</t>
    </r>
  </si>
  <si>
    <t>Drago</t>
  </si>
  <si>
    <t>Dracaena tamaranae</t>
  </si>
  <si>
    <r>
      <rPr>
        <i/>
        <sz val="10"/>
        <rFont val="Arial"/>
        <family val="2"/>
      </rPr>
      <t xml:space="preserve">Dracaena tamaranae </t>
    </r>
    <r>
      <rPr>
        <sz val="10"/>
        <rFont val="Arial"/>
        <family val="2"/>
      </rPr>
      <t>Marrero Rodr., Almeida-Pérez &amp; González-Martín</t>
    </r>
  </si>
  <si>
    <t>Drago de Gran Canaria, Drago</t>
  </si>
  <si>
    <t>Dracocephalum austriacum</t>
  </si>
  <si>
    <r>
      <rPr>
        <i/>
        <sz val="10"/>
        <rFont val="Arial"/>
        <family val="2"/>
      </rPr>
      <t>Dracocephalum austriacum</t>
    </r>
    <r>
      <rPr>
        <sz val="10"/>
        <rFont val="Arial"/>
        <family val="2"/>
      </rPr>
      <t xml:space="preserve"> L.</t>
    </r>
  </si>
  <si>
    <t>Dryopteris corleyi</t>
  </si>
  <si>
    <r>
      <rPr>
        <i/>
        <sz val="10"/>
        <rFont val="Arial"/>
        <family val="2"/>
      </rPr>
      <t>Dryopteris corleyi</t>
    </r>
    <r>
      <rPr>
        <sz val="10"/>
        <rFont val="Arial"/>
        <family val="2"/>
      </rPr>
      <t xml:space="preserve"> Fraser-Jenk.</t>
    </r>
  </si>
  <si>
    <t>Echinodium spinosum</t>
  </si>
  <si>
    <r>
      <rPr>
        <i/>
        <sz val="10"/>
        <rFont val="Arial"/>
        <family val="2"/>
      </rPr>
      <t>Echinodium spinosum</t>
    </r>
    <r>
      <rPr>
        <sz val="10"/>
        <rFont val="Arial"/>
        <family val="2"/>
      </rPr>
      <t xml:space="preserve"> (Mitt.) Jur.</t>
    </r>
  </si>
  <si>
    <t>Echium gentianoides</t>
  </si>
  <si>
    <r>
      <rPr>
        <i/>
        <sz val="10"/>
        <rFont val="Arial"/>
        <family val="2"/>
      </rPr>
      <t xml:space="preserve">Echium gentianoides </t>
    </r>
    <r>
      <rPr>
        <sz val="10"/>
        <rFont val="Arial"/>
        <family val="2"/>
      </rPr>
      <t>Coincy</t>
    </r>
  </si>
  <si>
    <t>Taginaste palmero de cumbre</t>
  </si>
  <si>
    <t>Echium handiense</t>
  </si>
  <si>
    <r>
      <rPr>
        <i/>
        <sz val="10"/>
        <rFont val="Arial"/>
        <family val="2"/>
      </rPr>
      <t>Echium handiense</t>
    </r>
    <r>
      <rPr>
        <sz val="10"/>
        <rFont val="Arial"/>
        <family val="2"/>
      </rPr>
      <t xml:space="preserve"> Svent.</t>
    </r>
  </si>
  <si>
    <t>Taginaste de Jandía</t>
  </si>
  <si>
    <t>Echium pininana</t>
  </si>
  <si>
    <r>
      <rPr>
        <i/>
        <sz val="10"/>
        <rFont val="Arial"/>
        <family val="2"/>
      </rPr>
      <t>Echium pininana</t>
    </r>
    <r>
      <rPr>
        <sz val="10"/>
        <rFont val="Arial"/>
        <family val="2"/>
      </rPr>
      <t xml:space="preserve"> Webb &amp; Berthel.</t>
    </r>
  </si>
  <si>
    <t>Pininana</t>
  </si>
  <si>
    <r>
      <rPr>
        <i/>
        <sz val="10"/>
        <rFont val="Arial"/>
        <family val="2"/>
      </rPr>
      <t>Erigeron frigidus</t>
    </r>
    <r>
      <rPr>
        <sz val="10"/>
        <rFont val="Arial"/>
        <family val="2"/>
      </rPr>
      <t xml:space="preserve"> Boiss. </t>
    </r>
  </si>
  <si>
    <r>
      <rPr>
        <i/>
        <sz val="10"/>
        <rFont val="Arial"/>
        <family val="2"/>
      </rPr>
      <t>Erodium astragaloides</t>
    </r>
    <r>
      <rPr>
        <sz val="10"/>
        <rFont val="Arial"/>
        <family val="2"/>
      </rPr>
      <t xml:space="preserve"> Boiss. &amp; Reut.</t>
    </r>
  </si>
  <si>
    <t xml:space="preserve">Nombre común actual: Alfilerillo de Los Alayos </t>
  </si>
  <si>
    <t>Erodium foetidum</t>
  </si>
  <si>
    <r>
      <rPr>
        <i/>
        <sz val="10"/>
        <rFont val="Arial"/>
        <family val="2"/>
      </rPr>
      <t>Erodium foetidum</t>
    </r>
    <r>
      <rPr>
        <sz val="10"/>
        <rFont val="Arial"/>
        <family val="2"/>
      </rPr>
      <t xml:space="preserve"> (L.) L´Her.</t>
    </r>
  </si>
  <si>
    <t>Alfileres de roca</t>
  </si>
  <si>
    <t>Erodium paularense</t>
  </si>
  <si>
    <r>
      <rPr>
        <i/>
        <sz val="10"/>
        <rFont val="Arial"/>
        <family val="2"/>
      </rPr>
      <t>Erodium paularense</t>
    </r>
    <r>
      <rPr>
        <sz val="10"/>
        <rFont val="Arial"/>
        <family val="2"/>
      </rPr>
      <t xml:space="preserve"> Fern. Gonz. &amp; Izco</t>
    </r>
  </si>
  <si>
    <t>Geranio del Paular, Erodio de Cañamares</t>
  </si>
  <si>
    <r>
      <rPr>
        <i/>
        <sz val="10"/>
        <rFont val="Arial"/>
        <family val="2"/>
      </rPr>
      <t>Erodium rupicola</t>
    </r>
    <r>
      <rPr>
        <sz val="10"/>
        <rFont val="Arial"/>
        <family val="2"/>
      </rPr>
      <t xml:space="preserve"> Boiss.</t>
    </r>
  </si>
  <si>
    <t xml:space="preserve">Alfirelillo de Sierra Nevada </t>
  </si>
  <si>
    <r>
      <t xml:space="preserve">Nombre común </t>
    </r>
    <r>
      <rPr>
        <sz val="10"/>
        <color theme="1"/>
        <rFont val="Arial"/>
        <family val="2"/>
      </rPr>
      <t>corregido</t>
    </r>
    <r>
      <rPr>
        <sz val="10"/>
        <rFont val="Arial"/>
        <family val="2"/>
      </rPr>
      <t>: Alfilerillo de Sierra Nevada (antes Alfirelillo de Sierra Nevada por error ortográfico)</t>
    </r>
  </si>
  <si>
    <t>Eryngium viviparum</t>
  </si>
  <si>
    <r>
      <rPr>
        <i/>
        <sz val="10"/>
        <rFont val="Arial"/>
        <family val="2"/>
      </rPr>
      <t>Eryngium viviparum</t>
    </r>
    <r>
      <rPr>
        <sz val="10"/>
        <rFont val="Arial"/>
        <family val="2"/>
      </rPr>
      <t xml:space="preserve"> J.Gay</t>
    </r>
  </si>
  <si>
    <t>Cardillo de laguna, Cardillo vivíparo</t>
  </si>
  <si>
    <t>LESRPE (Real Decreto 139/2011)</t>
  </si>
  <si>
    <t>Euphorbia bourgeauana</t>
  </si>
  <si>
    <r>
      <rPr>
        <i/>
        <sz val="10"/>
        <rFont val="Arial"/>
        <family val="2"/>
      </rPr>
      <t>Euphorbia bourgeana</t>
    </r>
    <r>
      <rPr>
        <sz val="10"/>
        <rFont val="Arial"/>
        <family val="2"/>
      </rPr>
      <t xml:space="preserve"> Boiss. </t>
    </r>
  </si>
  <si>
    <t>Tabaiba amarilla de Tenerife</t>
  </si>
  <si>
    <r>
      <rPr>
        <u/>
        <sz val="10"/>
        <color theme="1"/>
        <rFont val="Arial"/>
        <family val="2"/>
      </rPr>
      <t xml:space="preserve">Nombre científico corregido: </t>
    </r>
    <r>
      <rPr>
        <i/>
        <u/>
        <sz val="10"/>
        <color theme="1"/>
        <rFont val="Arial"/>
        <family val="2"/>
      </rPr>
      <t xml:space="preserve">Euphorbia bourgeana </t>
    </r>
    <r>
      <rPr>
        <sz val="10"/>
        <color theme="1"/>
        <rFont val="Arial"/>
        <family val="2"/>
      </rPr>
      <t xml:space="preserve">(incluido como </t>
    </r>
    <r>
      <rPr>
        <i/>
        <sz val="10"/>
        <color theme="1"/>
        <rFont val="Arial"/>
        <family val="2"/>
      </rPr>
      <t>Euphorbia bourgeauana</t>
    </r>
    <r>
      <rPr>
        <sz val="10"/>
        <color theme="1"/>
        <rFont val="Arial"/>
        <family val="2"/>
      </rPr>
      <t xml:space="preserve"> por error ortográfico).
Nombre común actual: Tabaiba de monte, Tabaiba amarilla
Población de la categoría de amenaza: Tenerife </t>
    </r>
  </si>
  <si>
    <t>Euphorbia handiensis</t>
  </si>
  <si>
    <r>
      <rPr>
        <i/>
        <sz val="10"/>
        <rFont val="Arial"/>
        <family val="2"/>
      </rPr>
      <t>Euphorbia handiensis</t>
    </r>
    <r>
      <rPr>
        <sz val="10"/>
        <rFont val="Arial"/>
        <family val="2"/>
      </rPr>
      <t xml:space="preserve"> Burchard</t>
    </r>
  </si>
  <si>
    <t>Cardón de Jandía</t>
  </si>
  <si>
    <t>Euphorbia lambii</t>
  </si>
  <si>
    <t>Tabaiba amarilla de La Gomera</t>
  </si>
  <si>
    <r>
      <rPr>
        <u/>
        <sz val="10"/>
        <color theme="1"/>
        <rFont val="Arial"/>
        <family val="2"/>
      </rPr>
      <t xml:space="preserve">Nombre científico actualizado: </t>
    </r>
    <r>
      <rPr>
        <i/>
        <u/>
        <sz val="10"/>
        <color theme="1"/>
        <rFont val="Arial"/>
        <family val="2"/>
      </rPr>
      <t>Euphorbia bourgeana</t>
    </r>
    <r>
      <rPr>
        <u/>
        <sz val="10"/>
        <color theme="1"/>
        <rFont val="Arial"/>
        <family val="2"/>
      </rPr>
      <t xml:space="preserve">(incluido como </t>
    </r>
    <r>
      <rPr>
        <i/>
        <u/>
        <sz val="10"/>
        <color theme="1"/>
        <rFont val="Arial"/>
        <family val="2"/>
      </rPr>
      <t>Euphorbia lambii</t>
    </r>
    <r>
      <rPr>
        <u/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 xml:space="preserve">
Nombre común actual: Tabaiba de monte, Tabaiba amarilla
Población de la categoría de amenaza: La Gomera</t>
    </r>
  </si>
  <si>
    <t>Euphorbia margalidiana</t>
  </si>
  <si>
    <r>
      <rPr>
        <i/>
        <sz val="10"/>
        <rFont val="Arial"/>
        <family val="2"/>
      </rPr>
      <t>Euphorbia margalidiana</t>
    </r>
    <r>
      <rPr>
        <sz val="10"/>
        <rFont val="Arial"/>
        <family val="2"/>
      </rPr>
      <t xml:space="preserve"> Kuhbier &amp; Lewej.</t>
    </r>
  </si>
  <si>
    <t>Lletrera</t>
  </si>
  <si>
    <t>Euphorbia mellifera</t>
  </si>
  <si>
    <r>
      <rPr>
        <i/>
        <sz val="10"/>
        <rFont val="Arial"/>
        <family val="2"/>
      </rPr>
      <t>Euphorbia mellifera</t>
    </r>
    <r>
      <rPr>
        <sz val="10"/>
        <rFont val="Arial"/>
        <family val="2"/>
      </rPr>
      <t xml:space="preserve"> Aiton</t>
    </r>
  </si>
  <si>
    <t>Tabaiba de Monteverde</t>
  </si>
  <si>
    <t>Euphorbia nevadensis subsp. nevadensis</t>
  </si>
  <si>
    <r>
      <rPr>
        <i/>
        <sz val="10"/>
        <rFont val="Arial"/>
        <family val="2"/>
      </rPr>
      <t>Euphorbia nevadensis</t>
    </r>
    <r>
      <rPr>
        <sz val="10"/>
        <rFont val="Arial"/>
        <family val="2"/>
      </rPr>
      <t xml:space="preserve"> Boiss. &amp; Reut. subsp. </t>
    </r>
    <r>
      <rPr>
        <i/>
        <sz val="10"/>
        <rFont val="Arial"/>
        <family val="2"/>
      </rPr>
      <t>nevadensis</t>
    </r>
  </si>
  <si>
    <r>
      <rPr>
        <i/>
        <sz val="10"/>
        <rFont val="Arial"/>
        <family val="2"/>
      </rPr>
      <t>Euphorbia transtagana</t>
    </r>
    <r>
      <rPr>
        <sz val="10"/>
        <rFont val="Arial"/>
        <family val="2"/>
      </rPr>
      <t xml:space="preserve"> Boiss.</t>
    </r>
  </si>
  <si>
    <t>Femeniasia balearica</t>
  </si>
  <si>
    <r>
      <rPr>
        <i/>
        <sz val="10"/>
        <rFont val="Arial"/>
        <family val="2"/>
      </rPr>
      <t>Femeniasia balearica</t>
    </r>
    <r>
      <rPr>
        <sz val="10"/>
        <rFont val="Arial"/>
        <family val="2"/>
      </rPr>
      <t xml:space="preserve"> (J.J. Rodr.) Susanna</t>
    </r>
  </si>
  <si>
    <t>Socarrell bord</t>
  </si>
  <si>
    <t>Ferula latipinna</t>
  </si>
  <si>
    <r>
      <rPr>
        <i/>
        <sz val="10"/>
        <rFont val="Arial"/>
        <family val="2"/>
      </rPr>
      <t>Ferula latipinna</t>
    </r>
    <r>
      <rPr>
        <sz val="10"/>
        <rFont val="Arial"/>
        <family val="2"/>
      </rPr>
      <t xml:space="preserve"> A.Santos</t>
    </r>
  </si>
  <si>
    <t>Cañaheja herreña</t>
  </si>
  <si>
    <t>Festuca brigantina</t>
  </si>
  <si>
    <r>
      <rPr>
        <i/>
        <sz val="10"/>
        <rFont val="Arial"/>
        <family val="2"/>
      </rPr>
      <t>Festuca brigantina</t>
    </r>
    <r>
      <rPr>
        <sz val="10"/>
        <rFont val="Arial"/>
        <family val="2"/>
      </rPr>
      <t xml:space="preserve"> (Markgr. -Dann.) Markgr.-Dann.</t>
    </r>
  </si>
  <si>
    <r>
      <rPr>
        <i/>
        <sz val="10"/>
        <rFont val="Arial"/>
        <family val="2"/>
      </rPr>
      <t>Festuca elegans</t>
    </r>
    <r>
      <rPr>
        <sz val="10"/>
        <rFont val="Arial"/>
        <family val="2"/>
      </rPr>
      <t xml:space="preserve"> Boiss.</t>
    </r>
  </si>
  <si>
    <t>Festuca summilusitana</t>
  </si>
  <si>
    <r>
      <rPr>
        <i/>
        <sz val="10"/>
        <rFont val="Arial"/>
        <family val="2"/>
      </rPr>
      <t xml:space="preserve">Festuca yvesii </t>
    </r>
    <r>
      <rPr>
        <sz val="10"/>
        <rFont val="Arial"/>
        <family val="2"/>
      </rPr>
      <t xml:space="preserve">subsp. </t>
    </r>
    <r>
      <rPr>
        <i/>
        <sz val="10"/>
        <rFont val="Arial"/>
        <family val="2"/>
      </rPr>
      <t>summilusitana</t>
    </r>
    <r>
      <rPr>
        <sz val="10"/>
        <rFont val="Arial"/>
        <family val="2"/>
      </rPr>
      <t xml:space="preserve"> (Franco &amp; Rocha Afonso) Mart.-Sagarra &amp; Devesa</t>
    </r>
  </si>
  <si>
    <t>Gadoria falukei Güemes y Mota</t>
  </si>
  <si>
    <r>
      <t xml:space="preserve">Gadoria falukei </t>
    </r>
    <r>
      <rPr>
        <sz val="10"/>
        <rFont val="Arial"/>
        <family val="2"/>
      </rPr>
      <t>Güemes y Mota</t>
    </r>
  </si>
  <si>
    <t>Dragoncito de la Sierra de Gádor</t>
  </si>
  <si>
    <r>
      <rPr>
        <i/>
        <sz val="10"/>
        <rFont val="Arial"/>
        <family val="2"/>
      </rPr>
      <t>Galium viridiflorum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</si>
  <si>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Gaudinia hispanica</t>
    </r>
    <r>
      <rPr>
        <sz val="10"/>
        <rFont val="Arial"/>
        <family val="2"/>
      </rPr>
      <t xml:space="preserve"> Stace &amp; Tutin</t>
    </r>
  </si>
  <si>
    <t>Gelidium arbusculum</t>
  </si>
  <si>
    <r>
      <rPr>
        <i/>
        <sz val="10"/>
        <rFont val="Arial"/>
        <family val="2"/>
      </rPr>
      <t>Gelidium arbusculum</t>
    </r>
    <r>
      <rPr>
        <sz val="10"/>
        <rFont val="Arial"/>
        <family val="2"/>
      </rPr>
      <t xml:space="preserve"> Bory de Saint-Vincent ex Børgesen</t>
    </r>
  </si>
  <si>
    <t>Gelidio rojo, Mujo rojo</t>
  </si>
  <si>
    <t>Gelidium canariense</t>
  </si>
  <si>
    <r>
      <rPr>
        <i/>
        <sz val="10"/>
        <rFont val="Arial"/>
        <family val="2"/>
      </rPr>
      <t>Gelidium canariense</t>
    </r>
    <r>
      <rPr>
        <sz val="10"/>
        <rFont val="Arial"/>
        <family val="2"/>
      </rPr>
      <t xml:space="preserve"> (Grunow) Seoane-Camba ex Haroun, Gil-Rodríguez, Díaz de Castro et Prud´homme van Reine</t>
    </r>
  </si>
  <si>
    <t>Gelidio negro, Mujo negro</t>
  </si>
  <si>
    <t>Genista benehoavensis</t>
  </si>
  <si>
    <r>
      <rPr>
        <i/>
        <sz val="10"/>
        <rFont val="Arial"/>
        <family val="2"/>
      </rPr>
      <t>Genista benehoavensis</t>
    </r>
    <r>
      <rPr>
        <sz val="10"/>
        <rFont val="Arial"/>
        <family val="2"/>
      </rPr>
      <t xml:space="preserve"> (Svent.) del Arco</t>
    </r>
  </si>
  <si>
    <t>Retamón palmero</t>
  </si>
  <si>
    <t>Genista dorycnifolia</t>
  </si>
  <si>
    <r>
      <rPr>
        <i/>
        <sz val="10"/>
        <rFont val="Arial"/>
        <family val="2"/>
      </rPr>
      <t>Genista dorycnifolia</t>
    </r>
    <r>
      <rPr>
        <sz val="10"/>
        <rFont val="Arial"/>
        <family val="2"/>
      </rPr>
      <t xml:space="preserve"> Font Quer</t>
    </r>
  </si>
  <si>
    <t>Gentiana angustifolia subsp. angustifolia</t>
  </si>
  <si>
    <r>
      <rPr>
        <i/>
        <sz val="10"/>
        <rFont val="Arial"/>
        <family val="2"/>
      </rPr>
      <t>Gentiana angustifolia</t>
    </r>
    <r>
      <rPr>
        <sz val="10"/>
        <rFont val="Arial"/>
        <family val="2"/>
      </rPr>
      <t xml:space="preserve"> Vill. subsp. </t>
    </r>
    <r>
      <rPr>
        <i/>
        <sz val="10"/>
        <rFont val="Arial"/>
        <family val="2"/>
      </rPr>
      <t>angustifolia</t>
    </r>
  </si>
  <si>
    <t>Glandora oleifolia (=Lithodora oleifolia)</t>
  </si>
  <si>
    <r>
      <rPr>
        <i/>
        <sz val="10"/>
        <rFont val="Arial"/>
        <family val="2"/>
      </rPr>
      <t>Glandora oleifolia</t>
    </r>
    <r>
      <rPr>
        <sz val="10"/>
        <rFont val="Arial"/>
        <family val="2"/>
      </rPr>
      <t xml:space="preserve"> (Lapeyr.) D.C.Thomas</t>
    </r>
  </si>
  <si>
    <t>Globularia ascanii</t>
  </si>
  <si>
    <r>
      <rPr>
        <i/>
        <sz val="10"/>
        <rFont val="Arial"/>
        <family val="2"/>
      </rPr>
      <t>Globularia ascanii</t>
    </r>
    <r>
      <rPr>
        <sz val="10"/>
        <rFont val="Arial"/>
        <family val="2"/>
      </rPr>
      <t xml:space="preserve"> Bramwell &amp; G.Kunkel</t>
    </r>
  </si>
  <si>
    <t>Mosquera de Tamadaba</t>
  </si>
  <si>
    <t>Globularia sarcophylla</t>
  </si>
  <si>
    <r>
      <rPr>
        <i/>
        <sz val="10"/>
        <rFont val="Arial"/>
        <family val="2"/>
      </rPr>
      <t>Globularia sarcophylla</t>
    </r>
    <r>
      <rPr>
        <sz val="10"/>
        <rFont val="Arial"/>
        <family val="2"/>
      </rPr>
      <t xml:space="preserve"> Svent.</t>
    </r>
  </si>
  <si>
    <t>Mosquera de Tirajana</t>
  </si>
  <si>
    <r>
      <rPr>
        <i/>
        <sz val="10"/>
        <rFont val="Arial"/>
        <family val="2"/>
      </rPr>
      <t>Gymnogongrus crenulatus</t>
    </r>
    <r>
      <rPr>
        <sz val="10"/>
        <rFont val="Arial"/>
        <family val="2"/>
      </rPr>
      <t xml:space="preserve"> (Turner) J. Agardh</t>
    </r>
  </si>
  <si>
    <t>Gymnosporia cryptopetala Reyes-Bet. &amp; Santos</t>
  </si>
  <si>
    <r>
      <t xml:space="preserve">Gymnosporia cryptopetala </t>
    </r>
    <r>
      <rPr>
        <sz val="10"/>
        <rFont val="Arial"/>
        <family val="2"/>
      </rPr>
      <t>Reyes-Bet. &amp; Santos</t>
    </r>
  </si>
  <si>
    <t>Peralillo espino, Artisco</t>
  </si>
  <si>
    <t>Gyrocaryum oppositiflorum Valdés</t>
  </si>
  <si>
    <r>
      <t>Gyrocaryum oppositifolium</t>
    </r>
    <r>
      <rPr>
        <sz val="10"/>
        <rFont val="Arial"/>
        <family val="2"/>
      </rPr>
      <t>Valdés</t>
    </r>
  </si>
  <si>
    <t>Nomevés</t>
  </si>
  <si>
    <t>Hamatocaulis vernicosus</t>
  </si>
  <si>
    <r>
      <rPr>
        <i/>
        <sz val="10"/>
        <rFont val="Arial"/>
        <family val="2"/>
      </rPr>
      <t>Hamatocaulis vernicosus</t>
    </r>
    <r>
      <rPr>
        <sz val="10"/>
        <rFont val="Arial"/>
        <family val="2"/>
      </rPr>
      <t xml:space="preserve"> (Mitt.) Hedenäs</t>
    </r>
  </si>
  <si>
    <r>
      <rPr>
        <i/>
        <sz val="10"/>
        <rFont val="Arial"/>
        <family val="2"/>
      </rPr>
      <t>Helianthemum alypoides</t>
    </r>
    <r>
      <rPr>
        <sz val="10"/>
        <rFont val="Arial"/>
        <family val="2"/>
      </rPr>
      <t xml:space="preserve"> Losa &amp; Rivas Goday</t>
    </r>
  </si>
  <si>
    <t>Helianthemum bramwelliorum</t>
  </si>
  <si>
    <r>
      <rPr>
        <i/>
        <sz val="10"/>
        <rFont val="Arial"/>
        <family val="2"/>
      </rPr>
      <t>Helianthemum bramwelliorum</t>
    </r>
    <r>
      <rPr>
        <sz val="10"/>
        <rFont val="Arial"/>
        <family val="2"/>
      </rPr>
      <t xml:space="preserve"> Marrero Rodr.</t>
    </r>
  </si>
  <si>
    <t>Jarilla de Guinate</t>
  </si>
  <si>
    <t>Helianthemum bystropogophyllum</t>
  </si>
  <si>
    <r>
      <rPr>
        <i/>
        <sz val="10"/>
        <rFont val="Arial"/>
        <family val="2"/>
      </rPr>
      <t>Helianthemum bystropogophyllum</t>
    </r>
    <r>
      <rPr>
        <sz val="10"/>
        <rFont val="Arial"/>
        <family val="2"/>
      </rPr>
      <t xml:space="preserve"> Svent.</t>
    </r>
  </si>
  <si>
    <t>Jarilla peluda</t>
  </si>
  <si>
    <t>Helianthemum caput-felis</t>
  </si>
  <si>
    <r>
      <rPr>
        <i/>
        <sz val="10"/>
        <rFont val="Arial"/>
        <family val="2"/>
      </rPr>
      <t>Helianthemum caput-felis</t>
    </r>
    <r>
      <rPr>
        <sz val="10"/>
        <rFont val="Arial"/>
        <family val="2"/>
      </rPr>
      <t xml:space="preserve"> Boiss.</t>
    </r>
  </si>
  <si>
    <t>Helianthemum gonzalezferreri</t>
  </si>
  <si>
    <r>
      <rPr>
        <i/>
        <sz val="10"/>
        <rFont val="Arial"/>
        <family val="2"/>
      </rPr>
      <t>Helianthemum gonzalezferreri</t>
    </r>
    <r>
      <rPr>
        <sz val="10"/>
        <rFont val="Arial"/>
        <family val="2"/>
      </rPr>
      <t xml:space="preserve"> Marrero Rodr.</t>
    </r>
  </si>
  <si>
    <t>Jarilla de Famara</t>
  </si>
  <si>
    <t>Helianthemum inaguae</t>
  </si>
  <si>
    <t>Helianthemum inaguae Marrero Rodr., Gonz.-Mart. &amp; F. González</t>
  </si>
  <si>
    <t>Jarilla de Inagua</t>
  </si>
  <si>
    <t>Helianthemum juliae</t>
  </si>
  <si>
    <r>
      <rPr>
        <i/>
        <sz val="10"/>
        <rFont val="Arial"/>
        <family val="2"/>
      </rPr>
      <t>Helianthemum juliae</t>
    </r>
    <r>
      <rPr>
        <sz val="10"/>
        <rFont val="Arial"/>
        <family val="2"/>
      </rPr>
      <t xml:space="preserve"> Wildpret</t>
    </r>
  </si>
  <si>
    <t>Jarilla de Las Cañadas</t>
  </si>
  <si>
    <t>Helianthemum teneriffae</t>
  </si>
  <si>
    <r>
      <rPr>
        <i/>
        <sz val="10"/>
        <rFont val="Arial"/>
        <family val="2"/>
      </rPr>
      <t>Helianthemum teneriffae</t>
    </r>
    <r>
      <rPr>
        <sz val="10"/>
        <rFont val="Arial"/>
        <family val="2"/>
      </rPr>
      <t xml:space="preserve"> Coss.</t>
    </r>
  </si>
  <si>
    <t>Jarilla de Agache</t>
  </si>
  <si>
    <t>Helichrysum alucense</t>
  </si>
  <si>
    <r>
      <rPr>
        <i/>
        <sz val="10"/>
        <rFont val="Arial"/>
        <family val="2"/>
      </rPr>
      <t>Helichrysum alucense</t>
    </r>
    <r>
      <rPr>
        <sz val="10"/>
        <rFont val="Arial"/>
        <family val="2"/>
      </rPr>
      <t xml:space="preserve"> García-Casanova, S.Scholz &amp; Hernández</t>
    </r>
  </si>
  <si>
    <t>Yesquera de Aluce</t>
  </si>
  <si>
    <t>Helichrysum gossypinum</t>
  </si>
  <si>
    <r>
      <rPr>
        <i/>
        <sz val="10"/>
        <rFont val="Arial"/>
        <family val="2"/>
      </rPr>
      <t>Helichrysum gossypinum</t>
    </r>
    <r>
      <rPr>
        <sz val="10"/>
        <rFont val="Arial"/>
        <family val="2"/>
      </rPr>
      <t xml:space="preserve"> Webb</t>
    </r>
  </si>
  <si>
    <t>Yesquera amarilla</t>
  </si>
  <si>
    <t>Helichrysum monogynum</t>
  </si>
  <si>
    <r>
      <rPr>
        <i/>
        <sz val="10"/>
        <rFont val="Arial"/>
        <family val="2"/>
      </rPr>
      <t>Helichrysum monogynum</t>
    </r>
    <r>
      <rPr>
        <sz val="10"/>
        <rFont val="Arial"/>
        <family val="2"/>
      </rPr>
      <t xml:space="preserve"> Burtt &amp; Sunding</t>
    </r>
  </si>
  <si>
    <t>Yesquera roja</t>
  </si>
  <si>
    <t>Hieracium queraltense</t>
  </si>
  <si>
    <t xml:space="preserve">Hieracium recoderi de Retz </t>
  </si>
  <si>
    <t>Hieracium recoderi</t>
  </si>
  <si>
    <r>
      <rPr>
        <i/>
        <sz val="10"/>
        <rFont val="Arial"/>
        <family val="2"/>
      </rPr>
      <t>Hieracium recoderi de</t>
    </r>
    <r>
      <rPr>
        <sz val="10"/>
        <rFont val="Arial"/>
        <family val="2"/>
      </rPr>
      <t xml:space="preserve"> Retz</t>
    </r>
  </si>
  <si>
    <r>
      <rPr>
        <i/>
        <sz val="10"/>
        <rFont val="Arial"/>
        <family val="2"/>
      </rPr>
      <t>Hieracium texedense</t>
    </r>
    <r>
      <rPr>
        <sz val="10"/>
        <rFont val="Arial"/>
        <family val="2"/>
      </rPr>
      <t xml:space="preserve"> Pau</t>
    </r>
  </si>
  <si>
    <t>Hieracium vinyasianum</t>
  </si>
  <si>
    <r>
      <rPr>
        <i/>
        <sz val="10"/>
        <rFont val="Arial"/>
        <family val="2"/>
      </rPr>
      <t>Hieracium pii-fontii</t>
    </r>
    <r>
      <rPr>
        <sz val="10"/>
        <rFont val="Arial"/>
        <family val="2"/>
      </rPr>
      <t xml:space="preserve"> Mateo, L. Sáez, Egido &amp; Gómiz</t>
    </r>
  </si>
  <si>
    <t>Himantoglossum metlesicsianum</t>
  </si>
  <si>
    <r>
      <rPr>
        <i/>
        <sz val="10"/>
        <rFont val="Arial"/>
        <family val="2"/>
      </rPr>
      <t>Himantoglossum metlesicsianum</t>
    </r>
    <r>
      <rPr>
        <sz val="10"/>
        <rFont val="Arial"/>
        <family val="2"/>
      </rPr>
      <t xml:space="preserve"> (W.P.Teschner) P.Delforge</t>
    </r>
  </si>
  <si>
    <t>Orquídea de Tenerife</t>
  </si>
  <si>
    <t>Holcus setiglumis subsp. duriensis</t>
  </si>
  <si>
    <r>
      <rPr>
        <i/>
        <sz val="10"/>
        <rFont val="Arial"/>
        <family val="2"/>
      </rPr>
      <t>Holcus annuus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duriensis</t>
    </r>
    <r>
      <rPr>
        <sz val="10"/>
        <rFont val="Arial"/>
        <family val="2"/>
      </rPr>
      <t xml:space="preserve"> (P. Silva) Franco &amp; Rocha Afonso</t>
    </r>
  </si>
  <si>
    <r>
      <rPr>
        <i/>
        <sz val="10"/>
        <color theme="1"/>
        <rFont val="Arial"/>
        <family val="2"/>
      </rPr>
      <t>Hydrocharis morsus-ranae</t>
    </r>
    <r>
      <rPr>
        <sz val="10"/>
        <color theme="1"/>
        <rFont val="Arial"/>
        <family val="2"/>
      </rPr>
      <t xml:space="preserve"> L.</t>
    </r>
  </si>
  <si>
    <t>Bocado de rana, Corazones de agua</t>
  </si>
  <si>
    <t>Hymenophyllum wilsonii</t>
  </si>
  <si>
    <r>
      <rPr>
        <i/>
        <sz val="10"/>
        <rFont val="Arial"/>
        <family val="2"/>
      </rPr>
      <t>Hymenophyllum wilsonii</t>
    </r>
    <r>
      <rPr>
        <sz val="10"/>
        <rFont val="Arial"/>
        <family val="2"/>
      </rPr>
      <t xml:space="preserve"> Hook.</t>
    </r>
  </si>
  <si>
    <t>Hymenostemma pseudoanthemis</t>
  </si>
  <si>
    <r>
      <rPr>
        <i/>
        <sz val="10"/>
        <rFont val="Arial"/>
        <family val="2"/>
      </rPr>
      <t>Hymenostemma pseudanthemis</t>
    </r>
    <r>
      <rPr>
        <sz val="10"/>
        <rFont val="Arial"/>
        <family val="2"/>
      </rPr>
      <t xml:space="preserve"> (Kunze) Willk.</t>
    </r>
  </si>
  <si>
    <t>Hypochoeris oligocephala</t>
  </si>
  <si>
    <r>
      <rPr>
        <i/>
        <sz val="10"/>
        <rFont val="Arial"/>
        <family val="2"/>
      </rPr>
      <t>Hypochaeris oligocephala</t>
    </r>
    <r>
      <rPr>
        <sz val="10"/>
        <rFont val="Arial"/>
        <family val="2"/>
      </rPr>
      <t xml:space="preserve"> (Svent. &amp; Bramwell) Lack</t>
    </r>
  </si>
  <si>
    <t>Lechuguilla de El Fraile</t>
  </si>
  <si>
    <t>Ilex perado subsp. lopezlilloi</t>
  </si>
  <si>
    <r>
      <rPr>
        <i/>
        <sz val="10"/>
        <rFont val="Arial"/>
        <family val="2"/>
      </rPr>
      <t>Ilex perado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lopezlilloi </t>
    </r>
    <r>
      <rPr>
        <sz val="10"/>
        <rFont val="Arial"/>
        <family val="2"/>
      </rPr>
      <t>(G.Kunkel) A.Hansen &amp; Sunding</t>
    </r>
  </si>
  <si>
    <t>Naranjero salvaje gomero</t>
  </si>
  <si>
    <t>Iris boissieri</t>
  </si>
  <si>
    <r>
      <rPr>
        <i/>
        <sz val="10"/>
        <rFont val="Arial"/>
        <family val="2"/>
      </rPr>
      <t>Iris boissieri</t>
    </r>
    <r>
      <rPr>
        <sz val="10"/>
        <rFont val="Arial"/>
        <family val="2"/>
      </rPr>
      <t xml:space="preserve"> Henriq.</t>
    </r>
  </si>
  <si>
    <t>Isoetes boryana</t>
  </si>
  <si>
    <r>
      <rPr>
        <i/>
        <sz val="10"/>
        <rFont val="Arial"/>
        <family val="2"/>
      </rPr>
      <t>Isoetes boryana</t>
    </r>
    <r>
      <rPr>
        <sz val="10"/>
        <rFont val="Arial"/>
        <family val="2"/>
      </rPr>
      <t xml:space="preserve"> Durieu</t>
    </r>
  </si>
  <si>
    <t>Jonopsidium savianum</t>
  </si>
  <si>
    <r>
      <rPr>
        <i/>
        <sz val="10"/>
        <rFont val="Arial"/>
        <family val="2"/>
      </rPr>
      <t>Jonopsidium savianum</t>
    </r>
    <r>
      <rPr>
        <sz val="10"/>
        <rFont val="Arial"/>
        <family val="2"/>
      </rPr>
      <t xml:space="preserve"> (Caruel) Ball ex Arcang.</t>
    </r>
  </si>
  <si>
    <t>Jungermannia handelii</t>
  </si>
  <si>
    <r>
      <rPr>
        <i/>
        <sz val="10"/>
        <rFont val="Arial"/>
        <family val="2"/>
      </rPr>
      <t>Solenostoma handelii</t>
    </r>
    <r>
      <rPr>
        <sz val="10"/>
        <rFont val="Arial"/>
        <family val="2"/>
      </rPr>
      <t xml:space="preserve"> (Schiffn.) Müll.Frib.</t>
    </r>
  </si>
  <si>
    <t>Juniperus cedrus</t>
  </si>
  <si>
    <r>
      <rPr>
        <i/>
        <sz val="10"/>
        <rFont val="Arial"/>
        <family val="2"/>
      </rPr>
      <t>Juniperus cedrus</t>
    </r>
    <r>
      <rPr>
        <sz val="10"/>
        <rFont val="Arial"/>
        <family val="2"/>
      </rPr>
      <t xml:space="preserve"> Webb &amp; Berthel.</t>
    </r>
  </si>
  <si>
    <r>
      <rPr>
        <i/>
        <sz val="10"/>
        <rFont val="Arial"/>
        <family val="2"/>
      </rPr>
      <t>Jurinea fontqueri</t>
    </r>
    <r>
      <rPr>
        <sz val="10"/>
        <rFont val="Arial"/>
        <family val="2"/>
      </rPr>
      <t xml:space="preserve"> Cuatrec.</t>
    </r>
  </si>
  <si>
    <r>
      <rPr>
        <i/>
        <sz val="10"/>
        <rFont val="Arial"/>
        <family val="2"/>
      </rPr>
      <t>Kallymenia spathulata</t>
    </r>
    <r>
      <rPr>
        <sz val="10"/>
        <rFont val="Arial"/>
        <family val="2"/>
      </rPr>
      <t xml:space="preserve"> (J. Agardh) Codomier ex Parkinson</t>
    </r>
  </si>
  <si>
    <t xml:space="preserve">Mediterráneo </t>
  </si>
  <si>
    <t>Kosteletzkya pentacarpos</t>
  </si>
  <si>
    <r>
      <rPr>
        <i/>
        <sz val="10"/>
        <rFont val="Arial"/>
        <family val="2"/>
      </rPr>
      <t>Kosteletzkya pentacarpa</t>
    </r>
    <r>
      <rPr>
        <sz val="10"/>
        <rFont val="Arial"/>
        <family val="2"/>
      </rPr>
      <t xml:space="preserve"> (L.) Ledeb.</t>
    </r>
  </si>
  <si>
    <t>Kunkeliella canariensis</t>
  </si>
  <si>
    <r>
      <rPr>
        <i/>
        <sz val="10"/>
        <rFont val="Arial"/>
        <family val="2"/>
      </rPr>
      <t>Thesium canariense</t>
    </r>
    <r>
      <rPr>
        <sz val="10"/>
        <rFont val="Arial"/>
        <family val="2"/>
      </rPr>
      <t xml:space="preserve"> (Stearn) J.C. Manning &amp; F. Forest</t>
    </r>
  </si>
  <si>
    <t>Escobilla de Guayadeque</t>
  </si>
  <si>
    <t>Kunkeliella psilotoclada</t>
  </si>
  <si>
    <r>
      <rPr>
        <i/>
        <sz val="10"/>
        <rFont val="Arial"/>
        <family val="2"/>
      </rPr>
      <t xml:space="preserve">Thesium psilotocladum </t>
    </r>
    <r>
      <rPr>
        <sz val="10"/>
        <rFont val="Arial"/>
        <family val="2"/>
      </rPr>
      <t>Svent.</t>
    </r>
  </si>
  <si>
    <t>Escobilla</t>
  </si>
  <si>
    <t>Kunkeliella subsucculenta</t>
  </si>
  <si>
    <r>
      <rPr>
        <i/>
        <sz val="10"/>
        <rFont val="Arial"/>
        <family val="2"/>
      </rPr>
      <t>Thesium subsucculentum</t>
    </r>
    <r>
      <rPr>
        <sz val="10"/>
        <rFont val="Arial"/>
        <family val="2"/>
      </rPr>
      <t xml:space="preserve"> (Kämmer) J.C. Manning &amp; F. Forest</t>
    </r>
  </si>
  <si>
    <t>Escobilla carnosa</t>
  </si>
  <si>
    <t>Laminaria rodriguezii</t>
  </si>
  <si>
    <r>
      <rPr>
        <i/>
        <sz val="10"/>
        <rFont val="Arial"/>
        <family val="2"/>
      </rPr>
      <t>Laminaria rodriguezii</t>
    </r>
    <r>
      <rPr>
        <sz val="10"/>
        <rFont val="Arial"/>
        <family val="2"/>
      </rPr>
      <t xml:space="preserve"> Bornet</t>
    </r>
  </si>
  <si>
    <t>Lappula deflexa</t>
  </si>
  <si>
    <r>
      <rPr>
        <i/>
        <sz val="10"/>
        <rFont val="Arial"/>
        <family val="2"/>
      </rPr>
      <t>Hackelia deflexa</t>
    </r>
    <r>
      <rPr>
        <sz val="10"/>
        <rFont val="Arial"/>
        <family val="2"/>
      </rPr>
      <t xml:space="preserve"> (Wahlenb.) Opiz</t>
    </r>
  </si>
  <si>
    <r>
      <rPr>
        <i/>
        <sz val="10"/>
        <rFont val="Arial"/>
        <family val="2"/>
      </rPr>
      <t>Laserpitium longiradium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</si>
  <si>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Leontodon boryi</t>
    </r>
    <r>
      <rPr>
        <sz val="10"/>
        <rFont val="Arial"/>
        <family val="2"/>
      </rPr>
      <t xml:space="preserve"> DC.</t>
    </r>
  </si>
  <si>
    <t>Leontodon microcephalus</t>
  </si>
  <si>
    <r>
      <rPr>
        <i/>
        <sz val="10"/>
        <rFont val="Arial"/>
        <family val="2"/>
      </rPr>
      <t>Scorzoneroides microcephala</t>
    </r>
    <r>
      <rPr>
        <sz val="10"/>
        <rFont val="Arial"/>
        <family val="2"/>
      </rPr>
      <t xml:space="preserve"> (DC.) Holub</t>
    </r>
  </si>
  <si>
    <t>Lepidium cardamines</t>
  </si>
  <si>
    <r>
      <rPr>
        <i/>
        <sz val="10"/>
        <rFont val="Arial"/>
        <family val="2"/>
      </rPr>
      <t>Lepidium cardamines</t>
    </r>
    <r>
      <rPr>
        <sz val="10"/>
        <rFont val="Arial"/>
        <family val="2"/>
      </rPr>
      <t xml:space="preserve"> L.</t>
    </r>
  </si>
  <si>
    <t>Limonium arborescens</t>
  </si>
  <si>
    <r>
      <rPr>
        <i/>
        <sz val="10"/>
        <rFont val="Arial"/>
        <family val="2"/>
      </rPr>
      <t>Limonium arboreum</t>
    </r>
    <r>
      <rPr>
        <sz val="10"/>
        <rFont val="Arial"/>
        <family val="2"/>
      </rPr>
      <t xml:space="preserve"> (Willd.) Erben, A. Santos &amp; Reyes-Bet.</t>
    </r>
  </si>
  <si>
    <t>Siempreviva arbórea</t>
  </si>
  <si>
    <t>Limonium dendroides</t>
  </si>
  <si>
    <r>
      <rPr>
        <i/>
        <sz val="10"/>
        <rFont val="Arial"/>
        <family val="2"/>
      </rPr>
      <t>Limonium dendroides</t>
    </r>
    <r>
      <rPr>
        <sz val="10"/>
        <rFont val="Arial"/>
        <family val="2"/>
      </rPr>
      <t xml:space="preserve"> Svent.</t>
    </r>
  </si>
  <si>
    <t>Siempreviva gigante</t>
  </si>
  <si>
    <t>Limonium dodartii</t>
  </si>
  <si>
    <r>
      <rPr>
        <i/>
        <sz val="10"/>
        <rFont val="Arial"/>
        <family val="2"/>
      </rPr>
      <t>Limonium dodartii</t>
    </r>
    <r>
      <rPr>
        <sz val="10"/>
        <rFont val="Arial"/>
        <family val="2"/>
      </rPr>
      <t xml:space="preserve"> (Girard) Kuntze</t>
    </r>
  </si>
  <si>
    <t>Limonium fruticans</t>
  </si>
  <si>
    <r>
      <rPr>
        <i/>
        <sz val="10"/>
        <rFont val="Arial"/>
        <family val="2"/>
      </rPr>
      <t>Limonium frutescens</t>
    </r>
    <r>
      <rPr>
        <sz val="10"/>
        <rFont val="Arial"/>
        <family val="2"/>
      </rPr>
      <t xml:space="preserve"> (Lem.) Erben, A. Santos &amp; Reyes-Bet.</t>
    </r>
  </si>
  <si>
    <t>Siempreviva de El Fraile</t>
  </si>
  <si>
    <t>Limonium geronense</t>
  </si>
  <si>
    <r>
      <rPr>
        <i/>
        <sz val="10"/>
        <rFont val="Arial"/>
        <family val="2"/>
      </rPr>
      <t>Limonium geronense</t>
    </r>
    <r>
      <rPr>
        <sz val="10"/>
        <rFont val="Arial"/>
        <family val="2"/>
      </rPr>
      <t xml:space="preserve"> Erben</t>
    </r>
  </si>
  <si>
    <t>Limonium magallufianum</t>
  </si>
  <si>
    <r>
      <rPr>
        <i/>
        <sz val="10"/>
        <rFont val="Arial"/>
        <family val="2"/>
      </rPr>
      <t>Limonium magallufianum</t>
    </r>
    <r>
      <rPr>
        <sz val="10"/>
        <rFont val="Arial"/>
        <family val="2"/>
      </rPr>
      <t xml:space="preserve"> L.Llorens</t>
    </r>
  </si>
  <si>
    <t>Saladina</t>
  </si>
  <si>
    <t>En peligro de extinción (Real Decreto 139/2011)</t>
  </si>
  <si>
    <t>Limonium majoricum</t>
  </si>
  <si>
    <r>
      <rPr>
        <i/>
        <sz val="10"/>
        <rFont val="Arial"/>
        <family val="2"/>
      </rPr>
      <t>Limonium majoricum</t>
    </r>
    <r>
      <rPr>
        <sz val="10"/>
        <rFont val="Arial"/>
        <family val="2"/>
      </rPr>
      <t xml:space="preserve"> Pignatti</t>
    </r>
  </si>
  <si>
    <t>Siempreviva </t>
  </si>
  <si>
    <r>
      <rPr>
        <i/>
        <sz val="10"/>
        <rFont val="Arial"/>
        <family val="2"/>
      </rPr>
      <t>Limonium malacitanum</t>
    </r>
    <r>
      <rPr>
        <sz val="10"/>
        <rFont val="Arial"/>
        <family val="2"/>
      </rPr>
      <t xml:space="preserve"> Díez Garretas</t>
    </r>
  </si>
  <si>
    <r>
      <rPr>
        <i/>
        <sz val="10"/>
        <rFont val="Arial"/>
        <family val="2"/>
      </rPr>
      <t>Limonium ovalifolium</t>
    </r>
    <r>
      <rPr>
        <sz val="10"/>
        <rFont val="Arial"/>
        <family val="2"/>
      </rPr>
      <t xml:space="preserve"> (Poir.) Kuntze</t>
    </r>
  </si>
  <si>
    <t>Acelga salvaje</t>
  </si>
  <si>
    <t>Limonium perezii</t>
  </si>
  <si>
    <r>
      <rPr>
        <i/>
        <sz val="10"/>
        <rFont val="Arial"/>
        <family val="2"/>
      </rPr>
      <t>Limonium perezii</t>
    </r>
    <r>
      <rPr>
        <sz val="10"/>
        <rFont val="Arial"/>
        <family val="2"/>
      </rPr>
      <t xml:space="preserve"> (Stapf) C.E.Hubb.</t>
    </r>
  </si>
  <si>
    <t>Siempreviva de Masca</t>
  </si>
  <si>
    <t>Limonium perplexum</t>
  </si>
  <si>
    <r>
      <rPr>
        <i/>
        <sz val="10"/>
        <rFont val="Arial"/>
        <family val="2"/>
      </rPr>
      <t>Limonium perplexum</t>
    </r>
    <r>
      <rPr>
        <sz val="10"/>
        <rFont val="Arial"/>
        <family val="2"/>
      </rPr>
      <t xml:space="preserve"> L.Sáez &amp; Rosselló</t>
    </r>
  </si>
  <si>
    <t>Saladilla de Peñíscola, Ensopeguera d’Irta</t>
  </si>
  <si>
    <t>Limonium preauxii</t>
  </si>
  <si>
    <r>
      <rPr>
        <i/>
        <sz val="10"/>
        <rFont val="Arial"/>
        <family val="2"/>
      </rPr>
      <t>Limonium preauxii</t>
    </r>
    <r>
      <rPr>
        <sz val="10"/>
        <rFont val="Arial"/>
        <family val="2"/>
      </rPr>
      <t xml:space="preserve"> (Webb &amp; Berthel.) Kuntze</t>
    </r>
  </si>
  <si>
    <t>Siempreviva lunaria</t>
  </si>
  <si>
    <t>Limonium pseudodictyocladum</t>
  </si>
  <si>
    <r>
      <rPr>
        <i/>
        <sz val="10"/>
        <rFont val="Arial"/>
        <family val="2"/>
      </rPr>
      <t>Limonium pseudodictyocladum</t>
    </r>
    <r>
      <rPr>
        <sz val="10"/>
        <rFont val="Arial"/>
        <family val="2"/>
      </rPr>
      <t xml:space="preserve"> (Pignatti) L.Llorens</t>
    </r>
  </si>
  <si>
    <t>Limonium spectabile</t>
  </si>
  <si>
    <r>
      <rPr>
        <i/>
        <sz val="10"/>
        <rFont val="Arial"/>
        <family val="2"/>
      </rPr>
      <t>Limonium spectabile</t>
    </r>
    <r>
      <rPr>
        <sz val="10"/>
        <rFont val="Arial"/>
        <family val="2"/>
      </rPr>
      <t xml:space="preserve"> (Svent.) G.Kunkel &amp; Sunding</t>
    </r>
  </si>
  <si>
    <t>Siempreviva de Guelgue</t>
  </si>
  <si>
    <t>Limonium sventenii</t>
  </si>
  <si>
    <r>
      <rPr>
        <i/>
        <sz val="10"/>
        <rFont val="Arial"/>
        <family val="2"/>
      </rPr>
      <t>Limonium sventenii</t>
    </r>
    <r>
      <rPr>
        <sz val="10"/>
        <rFont val="Arial"/>
        <family val="2"/>
      </rPr>
      <t xml:space="preserve"> A.Santos &amp; M.Fernández</t>
    </r>
  </si>
  <si>
    <t>Siempreviva azul</t>
  </si>
  <si>
    <t>Limonium vigoi</t>
  </si>
  <si>
    <r>
      <rPr>
        <i/>
        <sz val="10"/>
        <rFont val="Arial"/>
        <family val="2"/>
      </rPr>
      <t>Limonium vigoi</t>
    </r>
    <r>
      <rPr>
        <sz val="10"/>
        <rFont val="Arial"/>
        <family val="2"/>
      </rPr>
      <t xml:space="preserve"> L.Sáez, Curcó &amp; Roselló</t>
    </r>
  </si>
  <si>
    <r>
      <rPr>
        <i/>
        <sz val="10"/>
        <rFont val="Arial"/>
        <family val="2"/>
      </rPr>
      <t>Linaria tursica</t>
    </r>
    <r>
      <rPr>
        <sz val="10"/>
        <rFont val="Arial"/>
        <family val="2"/>
      </rPr>
      <t xml:space="preserve"> Valdés &amp; Cabezudo</t>
    </r>
  </si>
  <si>
    <t>Lindernia procumbens</t>
  </si>
  <si>
    <r>
      <rPr>
        <i/>
        <sz val="10"/>
        <rFont val="Arial"/>
        <family val="2"/>
      </rPr>
      <t>Lindernia procumbens</t>
    </r>
    <r>
      <rPr>
        <sz val="10"/>
        <rFont val="Arial"/>
        <family val="2"/>
      </rPr>
      <t xml:space="preserve"> (Krock.) Philcox</t>
    </r>
  </si>
  <si>
    <r>
      <rPr>
        <i/>
        <sz val="10"/>
        <rFont val="Arial"/>
        <family val="2"/>
      </rPr>
      <t xml:space="preserve">Glandora nitida </t>
    </r>
    <r>
      <rPr>
        <sz val="10"/>
        <rFont val="Arial"/>
        <family val="2"/>
      </rPr>
      <t>(Ern) D.C.Thomas</t>
    </r>
  </si>
  <si>
    <t>Lythophyllum byssoides</t>
  </si>
  <si>
    <r>
      <rPr>
        <i/>
        <sz val="10"/>
        <rFont val="Arial"/>
        <family val="2"/>
      </rPr>
      <t>Lithophyllum byssoides</t>
    </r>
    <r>
      <rPr>
        <sz val="10"/>
        <rFont val="Arial"/>
        <family val="2"/>
      </rPr>
      <t xml:space="preserve"> (Lamarck) Foslie</t>
    </r>
  </si>
  <si>
    <t>Lotus berthelotii</t>
  </si>
  <si>
    <r>
      <rPr>
        <i/>
        <sz val="10"/>
        <rFont val="Arial"/>
        <family val="2"/>
      </rPr>
      <t>Lotus berthelotii</t>
    </r>
    <r>
      <rPr>
        <sz val="10"/>
        <rFont val="Arial"/>
        <family val="2"/>
      </rPr>
      <t xml:space="preserve"> Masf.</t>
    </r>
  </si>
  <si>
    <t>Picopaloma</t>
  </si>
  <si>
    <t>Lotus callis-viridis</t>
  </si>
  <si>
    <r>
      <rPr>
        <i/>
        <sz val="10"/>
        <rFont val="Arial"/>
        <family val="2"/>
      </rPr>
      <t>Lotus callis-viridis</t>
    </r>
    <r>
      <rPr>
        <sz val="10"/>
        <rFont val="Arial"/>
        <family val="2"/>
      </rPr>
      <t xml:space="preserve"> Bramwell &amp; D.H.Davis</t>
    </r>
  </si>
  <si>
    <t>Corazoncillo del Andén Verde</t>
  </si>
  <si>
    <t>Lotus eremiticus</t>
  </si>
  <si>
    <r>
      <rPr>
        <i/>
        <sz val="10"/>
        <rFont val="Arial"/>
        <family val="2"/>
      </rPr>
      <t>Lotus eremiticus</t>
    </r>
    <r>
      <rPr>
        <sz val="10"/>
        <rFont val="Arial"/>
        <family val="2"/>
      </rPr>
      <t xml:space="preserve"> A.Santos</t>
    </r>
  </si>
  <si>
    <t>Picocernícalo</t>
  </si>
  <si>
    <t>Lotus gomerythus A. Portero, J. Martín-Carbajal &amp; R. Mesa</t>
  </si>
  <si>
    <r>
      <t>Lotus gomerythus</t>
    </r>
    <r>
      <rPr>
        <sz val="10"/>
        <rFont val="Arial"/>
        <family val="2"/>
      </rPr>
      <t xml:space="preserve"> A. Portero, J. Martín-Carbajal &amp; R. Mesa</t>
    </r>
  </si>
  <si>
    <t>Pico paloma gomero</t>
  </si>
  <si>
    <t>Lotus kunkelii</t>
  </si>
  <si>
    <r>
      <rPr>
        <i/>
        <sz val="10"/>
        <rFont val="Arial"/>
        <family val="2"/>
      </rPr>
      <t xml:space="preserve">Lotus kunkelii </t>
    </r>
    <r>
      <rPr>
        <sz val="10"/>
        <rFont val="Arial"/>
        <family val="2"/>
      </rPr>
      <t>(Esteve) Bramwell &amp; D.H.Davis</t>
    </r>
  </si>
  <si>
    <t>Yerbamuda de Jinámar</t>
  </si>
  <si>
    <t>Lotus maculatus</t>
  </si>
  <si>
    <r>
      <rPr>
        <i/>
        <sz val="10"/>
        <rFont val="Arial"/>
        <family val="2"/>
      </rPr>
      <t>Lotus maculatus</t>
    </r>
    <r>
      <rPr>
        <sz val="10"/>
        <rFont val="Arial"/>
        <family val="2"/>
      </rPr>
      <t xml:space="preserve"> Breitf.</t>
    </r>
  </si>
  <si>
    <t>Pico de El Sauzal</t>
  </si>
  <si>
    <t>Lotus pyranthus</t>
  </si>
  <si>
    <r>
      <rPr>
        <i/>
        <sz val="10"/>
        <rFont val="Arial"/>
        <family val="2"/>
      </rPr>
      <t>Lotus pyranthus</t>
    </r>
    <r>
      <rPr>
        <sz val="10"/>
        <rFont val="Arial"/>
        <family val="2"/>
      </rPr>
      <t xml:space="preserve"> P.Pérez</t>
    </r>
  </si>
  <si>
    <t>Pico de Fuego</t>
  </si>
  <si>
    <t>Luronium natans</t>
  </si>
  <si>
    <r>
      <rPr>
        <i/>
        <sz val="10"/>
        <rFont val="Arial"/>
        <family val="2"/>
      </rPr>
      <t>Luronium natans</t>
    </r>
    <r>
      <rPr>
        <sz val="10"/>
        <rFont val="Arial"/>
        <family val="2"/>
      </rPr>
      <t xml:space="preserve"> (L.) Raf.</t>
    </r>
  </si>
  <si>
    <t>Lysimachia minoricensis</t>
  </si>
  <si>
    <r>
      <rPr>
        <i/>
        <sz val="10"/>
        <rFont val="Arial"/>
        <family val="2"/>
      </rPr>
      <t>Lysimachia minoricensis</t>
    </r>
    <r>
      <rPr>
        <sz val="10"/>
        <rFont val="Arial"/>
        <family val="2"/>
      </rPr>
      <t xml:space="preserve"> J.J.Rodr.</t>
    </r>
  </si>
  <si>
    <t>Lisimaquia menorquina</t>
  </si>
  <si>
    <t>Lythrum flexuosum</t>
  </si>
  <si>
    <r>
      <rPr>
        <i/>
        <sz val="10"/>
        <rFont val="Arial"/>
        <family val="2"/>
      </rPr>
      <t>Lythrum flexuosum</t>
    </r>
    <r>
      <rPr>
        <sz val="10"/>
        <rFont val="Arial"/>
        <family val="2"/>
      </rPr>
      <t xml:space="preserve"> Lag.</t>
    </r>
  </si>
  <si>
    <t>Jopillo</t>
  </si>
  <si>
    <r>
      <rPr>
        <i/>
        <sz val="10"/>
        <rFont val="Arial"/>
        <family val="2"/>
      </rPr>
      <t>Marsilea batardae</t>
    </r>
    <r>
      <rPr>
        <sz val="10"/>
        <rFont val="Arial"/>
        <family val="2"/>
      </rPr>
      <t xml:space="preserve"> Launert</t>
    </r>
  </si>
  <si>
    <t>Marsilea quadrifolia</t>
  </si>
  <si>
    <r>
      <rPr>
        <i/>
        <sz val="10"/>
        <rFont val="Arial"/>
        <family val="2"/>
      </rPr>
      <t>Marsilea quadrifolia</t>
    </r>
    <r>
      <rPr>
        <sz val="10"/>
        <rFont val="Arial"/>
        <family val="2"/>
      </rPr>
      <t xml:space="preserve"> L.</t>
    </r>
  </si>
  <si>
    <r>
      <rPr>
        <i/>
        <sz val="10"/>
        <rFont val="Arial"/>
        <family val="2"/>
      </rPr>
      <t>Marsilea strigosa</t>
    </r>
    <r>
      <rPr>
        <sz val="10"/>
        <rFont val="Arial"/>
        <family val="2"/>
      </rPr>
      <t xml:space="preserve"> Willd.</t>
    </r>
  </si>
  <si>
    <t>Marsupella profunda</t>
  </si>
  <si>
    <r>
      <rPr>
        <i/>
        <sz val="10"/>
        <rFont val="Arial"/>
        <family val="2"/>
      </rPr>
      <t xml:space="preserve">Marsupella profunda </t>
    </r>
    <r>
      <rPr>
        <sz val="10"/>
        <rFont val="Arial"/>
        <family val="2"/>
      </rPr>
      <t>Lindb.</t>
    </r>
  </si>
  <si>
    <t>Medicago citrina</t>
  </si>
  <si>
    <r>
      <rPr>
        <i/>
        <sz val="10"/>
        <rFont val="Arial"/>
        <family val="2"/>
      </rPr>
      <t>Medicago citrina</t>
    </r>
    <r>
      <rPr>
        <sz val="10"/>
        <rFont val="Arial"/>
        <family val="2"/>
      </rPr>
      <t xml:space="preserve"> (Font Quer) Greuter</t>
    </r>
  </si>
  <si>
    <t>Mielga real</t>
  </si>
  <si>
    <t>Micromeria glomerata</t>
  </si>
  <si>
    <r>
      <rPr>
        <i/>
        <sz val="10"/>
        <rFont val="Arial"/>
        <family val="2"/>
      </rPr>
      <t>Micromeria glomerata</t>
    </r>
    <r>
      <rPr>
        <sz val="10"/>
        <rFont val="Arial"/>
        <family val="2"/>
      </rPr>
      <t xml:space="preserve"> P.Pérez</t>
    </r>
  </si>
  <si>
    <t>Tomillo de Taganana</t>
  </si>
  <si>
    <t>Micromeria leucantha</t>
  </si>
  <si>
    <r>
      <rPr>
        <i/>
        <sz val="10"/>
        <rFont val="Arial"/>
        <family val="2"/>
      </rPr>
      <t>Micromeria leucantha</t>
    </r>
    <r>
      <rPr>
        <sz val="10"/>
        <rFont val="Arial"/>
        <family val="2"/>
      </rPr>
      <t xml:space="preserve"> P. Pérez</t>
    </r>
  </si>
  <si>
    <t>Tomillón blanco</t>
  </si>
  <si>
    <r>
      <rPr>
        <i/>
        <sz val="10"/>
        <rFont val="Arial"/>
        <family val="2"/>
      </rPr>
      <t>Festuca tuberosa</t>
    </r>
    <r>
      <rPr>
        <sz val="10"/>
        <rFont val="Arial"/>
        <family val="2"/>
      </rPr>
      <t xml:space="preserve"> (Romero Zarco &amp; Cabezudo) Devesa</t>
    </r>
  </si>
  <si>
    <r>
      <t xml:space="preserve">Arenaria funiculata </t>
    </r>
    <r>
      <rPr>
        <sz val="10"/>
        <rFont val="Arial"/>
        <family val="2"/>
      </rPr>
      <t>Flor &amp;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P.O.Karis</t>
    </r>
  </si>
  <si>
    <t>Monanthes wildpretii</t>
  </si>
  <si>
    <r>
      <rPr>
        <i/>
        <sz val="10"/>
        <rFont val="Arial"/>
        <family val="2"/>
      </rPr>
      <t xml:space="preserve">Monanthes wildpretii </t>
    </r>
    <r>
      <rPr>
        <sz val="10"/>
        <rFont val="Arial"/>
        <family val="2"/>
      </rPr>
      <t>Bañares &amp; S. Scholz</t>
    </r>
  </si>
  <si>
    <t>Pelotilla de Chinamada</t>
  </si>
  <si>
    <t>Myrica rivas-martinezii</t>
  </si>
  <si>
    <r>
      <rPr>
        <i/>
        <sz val="10"/>
        <rFont val="Arial"/>
        <family val="2"/>
      </rPr>
      <t>Morella rivas-martinezii</t>
    </r>
    <r>
      <rPr>
        <sz val="10"/>
        <rFont val="Arial"/>
        <family val="2"/>
      </rPr>
      <t xml:space="preserve"> A. Santos &amp; J. Herbert</t>
    </r>
  </si>
  <si>
    <t>Faya herreña</t>
  </si>
  <si>
    <t>Nanozostera noltii</t>
  </si>
  <si>
    <r>
      <rPr>
        <i/>
        <sz val="10"/>
        <rFont val="Arial"/>
        <family val="2"/>
      </rPr>
      <t>Nanozostera noltei</t>
    </r>
    <r>
      <rPr>
        <sz val="10"/>
        <rFont val="Arial"/>
        <family val="2"/>
      </rPr>
      <t xml:space="preserve"> (Hornem.) Toml. &amp; Posl.</t>
    </r>
  </si>
  <si>
    <t>Seba de mar estrecha, Seba fina</t>
  </si>
  <si>
    <t>Narcissus asturiensis</t>
  </si>
  <si>
    <r>
      <rPr>
        <i/>
        <sz val="10"/>
        <rFont val="Arial"/>
        <family val="2"/>
      </rPr>
      <t>Narcissus minor</t>
    </r>
    <r>
      <rPr>
        <sz val="10"/>
        <rFont val="Arial"/>
        <family val="2"/>
      </rPr>
      <t xml:space="preserve"> L. subsp. </t>
    </r>
    <r>
      <rPr>
        <i/>
        <sz val="10"/>
        <rFont val="Arial"/>
        <family val="2"/>
      </rPr>
      <t>minor</t>
    </r>
  </si>
  <si>
    <t>Narciso de Asturias</t>
  </si>
  <si>
    <t>Narcissus cyclamineus</t>
  </si>
  <si>
    <r>
      <rPr>
        <i/>
        <sz val="10"/>
        <rFont val="Arial"/>
        <family val="2"/>
      </rPr>
      <t>Narcissus cyclamineus</t>
    </r>
    <r>
      <rPr>
        <sz val="10"/>
        <rFont val="Arial"/>
        <family val="2"/>
      </rPr>
      <t xml:space="preserve"> DC. in Redouté</t>
    </r>
  </si>
  <si>
    <t>Narcissus fernandesii</t>
  </si>
  <si>
    <r>
      <rPr>
        <i/>
        <sz val="10"/>
        <rFont val="Arial"/>
        <family val="2"/>
      </rPr>
      <t>Narcissus fernandesii</t>
    </r>
    <r>
      <rPr>
        <sz val="10"/>
        <rFont val="Arial"/>
        <family val="2"/>
      </rPr>
      <t xml:space="preserve"> Pedro</t>
    </r>
  </si>
  <si>
    <t>Narcissus humilis</t>
  </si>
  <si>
    <r>
      <rPr>
        <i/>
        <sz val="10"/>
        <rFont val="Arial"/>
        <family val="2"/>
      </rPr>
      <t>Narcissus cavanillesii</t>
    </r>
    <r>
      <rPr>
        <sz val="10"/>
        <rFont val="Arial"/>
        <family val="2"/>
      </rPr>
      <t xml:space="preserve"> Barra &amp; G.López</t>
    </r>
  </si>
  <si>
    <r>
      <rPr>
        <i/>
        <sz val="10"/>
        <rFont val="Arial"/>
        <family val="2"/>
      </rPr>
      <t>Narcissus nevadensis</t>
    </r>
    <r>
      <rPr>
        <sz val="10"/>
        <rFont val="Arial"/>
        <family val="2"/>
      </rPr>
      <t xml:space="preserve"> subsp.</t>
    </r>
    <r>
      <rPr>
        <i/>
        <sz val="10"/>
        <rFont val="Arial"/>
        <family val="2"/>
      </rPr>
      <t xml:space="preserve"> longispathus</t>
    </r>
    <r>
      <rPr>
        <sz val="10"/>
        <rFont val="Arial"/>
        <family val="2"/>
      </rPr>
      <t xml:space="preserve"> (Pugsley) Algarra, Blanca, Cueto &amp; J. Fuente</t>
    </r>
  </si>
  <si>
    <r>
      <rPr>
        <i/>
        <sz val="10"/>
        <rFont val="Arial"/>
        <family val="2"/>
      </rPr>
      <t>Narcissus nevadensis</t>
    </r>
    <r>
      <rPr>
        <sz val="10"/>
        <rFont val="Arial"/>
        <family val="2"/>
      </rPr>
      <t xml:space="preserve"> Pugsley</t>
    </r>
  </si>
  <si>
    <t>Narciso de Sierra Nevada</t>
  </si>
  <si>
    <t>Nombre común en RD139/2011: Narciso de Villafuerte</t>
  </si>
  <si>
    <t>Narcissus pseudonarcissus subsp. nobilis</t>
  </si>
  <si>
    <r>
      <rPr>
        <i/>
        <sz val="10"/>
        <rFont val="Arial"/>
        <family val="2"/>
      </rPr>
      <t xml:space="preserve">Narcissus nobilis </t>
    </r>
    <r>
      <rPr>
        <sz val="10"/>
        <rFont val="Arial"/>
        <family val="2"/>
      </rPr>
      <t>(Haw.) Schult. &amp; Schult. f.</t>
    </r>
  </si>
  <si>
    <r>
      <rPr>
        <i/>
        <sz val="10"/>
        <rFont val="Arial"/>
        <family val="2"/>
      </rPr>
      <t>Narcissus triandrus</t>
    </r>
    <r>
      <rPr>
        <sz val="10"/>
        <rFont val="Arial"/>
        <family val="2"/>
      </rPr>
      <t xml:space="preserve"> L.</t>
    </r>
  </si>
  <si>
    <t>Nombre común actual: Campanillas, Junquillo blanco</t>
  </si>
  <si>
    <r>
      <rPr>
        <i/>
        <sz val="10"/>
        <rFont val="Arial"/>
        <family val="2"/>
      </rPr>
      <t>Narcissus viridiflorus</t>
    </r>
    <r>
      <rPr>
        <sz val="10"/>
        <rFont val="Arial"/>
        <family val="2"/>
      </rPr>
      <t xml:space="preserve"> Schousb.</t>
    </r>
  </si>
  <si>
    <t>Naufraga balearica</t>
  </si>
  <si>
    <r>
      <rPr>
        <i/>
        <sz val="10"/>
        <rFont val="Arial"/>
        <family val="2"/>
      </rPr>
      <t>Naufraga balearica</t>
    </r>
    <r>
      <rPr>
        <sz val="10"/>
        <rFont val="Arial"/>
        <family val="2"/>
      </rPr>
      <t xml:space="preserve"> Constance &amp; Cannon</t>
    </r>
  </si>
  <si>
    <t>Naufraga</t>
  </si>
  <si>
    <t>Normania nava</t>
  </si>
  <si>
    <r>
      <rPr>
        <i/>
        <sz val="10"/>
        <rFont val="Arial"/>
        <family val="2"/>
      </rPr>
      <t>Normania nava</t>
    </r>
    <r>
      <rPr>
        <sz val="10"/>
        <rFont val="Arial"/>
        <family val="2"/>
      </rPr>
      <t xml:space="preserve"> (Webb &amp; Berthel.) Franc.-Ort. &amp; Lester</t>
    </r>
  </si>
  <si>
    <t>Nuphar pumila subsp. Pumila</t>
  </si>
  <si>
    <r>
      <rPr>
        <i/>
        <sz val="10"/>
        <rFont val="Arial"/>
        <family val="2"/>
      </rPr>
      <t>Nuphar lutea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pumila </t>
    </r>
    <r>
      <rPr>
        <sz val="10"/>
        <rFont val="Arial"/>
        <family val="2"/>
      </rPr>
      <t>(Timm) Bonnier &amp; Layens</t>
    </r>
  </si>
  <si>
    <t>Nenúfar amarillo pequeño</t>
  </si>
  <si>
    <r>
      <rPr>
        <i/>
        <sz val="10"/>
        <rFont val="Arial"/>
        <family val="2"/>
      </rPr>
      <t>Odontites viscosus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granatensis </t>
    </r>
    <r>
      <rPr>
        <sz val="10"/>
        <rFont val="Arial"/>
        <family val="2"/>
      </rPr>
      <t>(Boiss.) Bolliger</t>
    </r>
  </si>
  <si>
    <t>Omphalodes littoralis subsp. gallaecica</t>
  </si>
  <si>
    <r>
      <rPr>
        <i/>
        <sz val="10"/>
        <rFont val="Arial"/>
        <family val="2"/>
      </rPr>
      <t xml:space="preserve">Iberodes littoralis </t>
    </r>
    <r>
      <rPr>
        <sz val="10"/>
        <rFont val="Arial"/>
        <family val="2"/>
      </rPr>
      <t xml:space="preserve">subsp. </t>
    </r>
    <r>
      <rPr>
        <i/>
        <sz val="10"/>
        <rFont val="Arial"/>
        <family val="2"/>
      </rPr>
      <t>gallaecica</t>
    </r>
    <r>
      <rPr>
        <sz val="10"/>
        <rFont val="Arial"/>
        <family val="2"/>
      </rPr>
      <t xml:space="preserve"> (Laínz) M.Serrano, R.Carbajal &amp; S.Ortiz</t>
    </r>
  </si>
  <si>
    <t>Onopordum carduelinum</t>
  </si>
  <si>
    <r>
      <rPr>
        <i/>
        <sz val="10"/>
        <rFont val="Arial"/>
        <family val="2"/>
      </rPr>
      <t>Onopordum carduelium</t>
    </r>
    <r>
      <rPr>
        <sz val="10"/>
        <rFont val="Arial"/>
        <family val="2"/>
      </rPr>
      <t xml:space="preserve"> Bolle</t>
    </r>
  </si>
  <si>
    <t>Cardo de Tenteniguada</t>
  </si>
  <si>
    <t>Onopordum nogalesii</t>
  </si>
  <si>
    <r>
      <rPr>
        <i/>
        <sz val="10"/>
        <rFont val="Arial"/>
        <family val="2"/>
      </rPr>
      <t>Onopordum nogalesii</t>
    </r>
    <r>
      <rPr>
        <sz val="10"/>
        <rFont val="Arial"/>
        <family val="2"/>
      </rPr>
      <t xml:space="preserve"> Svent.</t>
    </r>
  </si>
  <si>
    <t>Cardo de Jandía</t>
  </si>
  <si>
    <t>Ophioglossum polyphyllum</t>
  </si>
  <si>
    <r>
      <rPr>
        <i/>
        <sz val="10"/>
        <rFont val="Arial"/>
        <family val="2"/>
      </rPr>
      <t>Ophioglossum polyphyllum</t>
    </r>
    <r>
      <rPr>
        <sz val="10"/>
        <rFont val="Arial"/>
        <family val="2"/>
      </rPr>
      <t xml:space="preserve"> A. Braun</t>
    </r>
  </si>
  <si>
    <t>Lenguaserpiente foliosa</t>
  </si>
  <si>
    <t>Orchis provincialis</t>
  </si>
  <si>
    <r>
      <rPr>
        <i/>
        <sz val="10"/>
        <rFont val="Arial"/>
        <family val="2"/>
      </rPr>
      <t>Orchis provincialis</t>
    </r>
    <r>
      <rPr>
        <sz val="10"/>
        <rFont val="Arial"/>
        <family val="2"/>
      </rPr>
      <t xml:space="preserve"> Lam. &amp; DC.</t>
    </r>
  </si>
  <si>
    <r>
      <rPr>
        <i/>
        <sz val="10"/>
        <rFont val="Arial"/>
        <family val="2"/>
      </rPr>
      <t>Cathissa reverchonii</t>
    </r>
    <r>
      <rPr>
        <sz val="10"/>
        <rFont val="Arial"/>
        <family val="2"/>
      </rPr>
      <t xml:space="preserve"> (Willk.) Speta</t>
    </r>
  </si>
  <si>
    <r>
      <rPr>
        <i/>
        <sz val="10"/>
        <rFont val="Arial"/>
        <family val="2"/>
      </rPr>
      <t>Orobanche densiflora</t>
    </r>
    <r>
      <rPr>
        <sz val="10"/>
        <rFont val="Arial"/>
        <family val="2"/>
      </rPr>
      <t xml:space="preserve"> Reut.</t>
    </r>
  </si>
  <si>
    <t>Orthotrichum rogeri</t>
  </si>
  <si>
    <r>
      <rPr>
        <i/>
        <sz val="10"/>
        <rFont val="Arial"/>
        <family val="2"/>
      </rPr>
      <t>Orthotrichum rogeri</t>
    </r>
    <r>
      <rPr>
        <sz val="10"/>
        <rFont val="Arial"/>
        <family val="2"/>
      </rPr>
      <t xml:space="preserve"> Brid.</t>
    </r>
  </si>
  <si>
    <t>Paeonia cambessedesii</t>
  </si>
  <si>
    <r>
      <rPr>
        <i/>
        <sz val="10"/>
        <rFont val="Arial"/>
        <family val="2"/>
      </rPr>
      <t>Paeonia cambessedesii</t>
    </r>
    <r>
      <rPr>
        <sz val="10"/>
        <rFont val="Arial"/>
        <family val="2"/>
      </rPr>
      <t xml:space="preserve"> (Willk.) Willk. </t>
    </r>
  </si>
  <si>
    <t>Parolinia schizogynoides</t>
  </si>
  <si>
    <r>
      <rPr>
        <i/>
        <sz val="10"/>
        <rFont val="Arial"/>
        <family val="2"/>
      </rPr>
      <t>Parolinia schizogynoides</t>
    </r>
    <r>
      <rPr>
        <sz val="10"/>
        <rFont val="Arial"/>
        <family val="2"/>
      </rPr>
      <t xml:space="preserve"> Svent.</t>
    </r>
  </si>
  <si>
    <t>Dama de Argaga</t>
  </si>
  <si>
    <t>Pericallis appendiculata</t>
  </si>
  <si>
    <r>
      <rPr>
        <i/>
        <sz val="10"/>
        <rFont val="Arial"/>
        <family val="2"/>
      </rPr>
      <t>Pericallis appendiculata</t>
    </r>
    <r>
      <rPr>
        <sz val="10"/>
        <rFont val="Arial"/>
        <family val="2"/>
      </rPr>
      <t xml:space="preserve"> (L.f.) B.Nord.</t>
    </r>
  </si>
  <si>
    <t>Alamillo de Doramas</t>
  </si>
  <si>
    <t>Gran Canaria</t>
  </si>
  <si>
    <t>Pericallis hadrosoma</t>
  </si>
  <si>
    <r>
      <rPr>
        <i/>
        <sz val="10"/>
        <rFont val="Arial"/>
        <family val="2"/>
      </rPr>
      <t>Pericallis hadrosoma</t>
    </r>
    <r>
      <rPr>
        <sz val="10"/>
        <rFont val="Arial"/>
        <family val="2"/>
      </rPr>
      <t xml:space="preserve"> (Svent.) B.Nord.</t>
    </r>
  </si>
  <si>
    <t>Flor de mayo leñosa</t>
  </si>
  <si>
    <t>Petalophyllum ralfsii</t>
  </si>
  <si>
    <r>
      <rPr>
        <i/>
        <sz val="10"/>
        <rFont val="Arial"/>
        <family val="2"/>
      </rPr>
      <t>Petalophyllum ralfsii</t>
    </r>
    <r>
      <rPr>
        <sz val="10"/>
        <rFont val="Arial"/>
        <family val="2"/>
      </rPr>
      <t xml:space="preserve"> (Wilson) Nees &amp; Gottsche ex Lehm.</t>
    </r>
  </si>
  <si>
    <t>Petrocoptis grandiflora</t>
  </si>
  <si>
    <r>
      <rPr>
        <i/>
        <sz val="10"/>
        <rFont val="Arial"/>
        <family val="2"/>
      </rPr>
      <t>Petrocoptis grandiflora</t>
    </r>
    <r>
      <rPr>
        <sz val="10"/>
        <rFont val="Arial"/>
        <family val="2"/>
      </rPr>
      <t xml:space="preserve"> Rothm.</t>
    </r>
  </si>
  <si>
    <t>Petrocoptis montsicciana</t>
  </si>
  <si>
    <r>
      <rPr>
        <i/>
        <sz val="10"/>
        <rFont val="Arial"/>
        <family val="2"/>
      </rPr>
      <t>Petrocoptis montsicciana</t>
    </r>
    <r>
      <rPr>
        <sz val="10"/>
        <rFont val="Arial"/>
        <family val="2"/>
      </rPr>
      <t xml:space="preserve"> O.Bolòs &amp; Rivas Mart.</t>
    </r>
  </si>
  <si>
    <t>Petrocoptis pseudoviscosa</t>
  </si>
  <si>
    <r>
      <rPr>
        <i/>
        <sz val="10"/>
        <rFont val="Arial"/>
        <family val="2"/>
      </rPr>
      <t>Petrocoptis pseudoviscosa</t>
    </r>
    <r>
      <rPr>
        <sz val="10"/>
        <rFont val="Arial"/>
        <family val="2"/>
      </rPr>
      <t xml:space="preserve"> Fern.Casas</t>
    </r>
  </si>
  <si>
    <r>
      <t xml:space="preserve">Picris cupuligera </t>
    </r>
    <r>
      <rPr>
        <sz val="10"/>
        <rFont val="Arial"/>
        <family val="2"/>
      </rPr>
      <t>(Durieu) Walp.</t>
    </r>
  </si>
  <si>
    <r>
      <rPr>
        <i/>
        <sz val="10"/>
        <rFont val="Arial"/>
        <family val="2"/>
      </rPr>
      <t>Pilularia minuta</t>
    </r>
    <r>
      <rPr>
        <sz val="10"/>
        <rFont val="Arial"/>
        <family val="2"/>
      </rPr>
      <t xml:space="preserve"> Durieu in Bory &amp; Durieu</t>
    </r>
  </si>
  <si>
    <r>
      <rPr>
        <i/>
        <sz val="10"/>
        <rFont val="Arial"/>
        <family val="2"/>
      </rPr>
      <t>Pinguicula nevadensis</t>
    </r>
    <r>
      <rPr>
        <sz val="10"/>
        <rFont val="Arial"/>
        <family val="2"/>
      </rPr>
      <t xml:space="preserve"> (H.Lindb.) Casper</t>
    </r>
  </si>
  <si>
    <r>
      <rPr>
        <i/>
        <sz val="10"/>
        <rFont val="Arial"/>
        <family val="2"/>
      </rPr>
      <t>Plantago algarbiensis</t>
    </r>
    <r>
      <rPr>
        <sz val="10"/>
        <rFont val="Arial"/>
        <family val="2"/>
      </rPr>
      <t xml:space="preserve"> Samp.</t>
    </r>
  </si>
  <si>
    <t>Plantago famarae</t>
  </si>
  <si>
    <r>
      <rPr>
        <i/>
        <sz val="10"/>
        <rFont val="Arial"/>
        <family val="2"/>
      </rPr>
      <t>Plantago famarae</t>
    </r>
    <r>
      <rPr>
        <sz val="10"/>
        <rFont val="Arial"/>
        <family val="2"/>
      </rPr>
      <t xml:space="preserve"> Svent.</t>
    </r>
  </si>
  <si>
    <t>Pinillo de Famara</t>
  </si>
  <si>
    <t>Pedicularis comosa subsp. asparagoides</t>
  </si>
  <si>
    <r>
      <rPr>
        <i/>
        <sz val="10"/>
        <rFont val="Arial"/>
        <family val="2"/>
      </rPr>
      <t>Pedicularis comosa</t>
    </r>
    <r>
      <rPr>
        <sz val="10"/>
        <rFont val="Arial"/>
        <family val="2"/>
      </rPr>
      <t xml:space="preserve"> L.</t>
    </r>
  </si>
  <si>
    <t>Pellaea calomelanos</t>
  </si>
  <si>
    <r>
      <rPr>
        <i/>
        <sz val="10"/>
        <rFont val="Arial"/>
        <family val="2"/>
      </rPr>
      <t>Pellaea calomelanos</t>
    </r>
    <r>
      <rPr>
        <sz val="10"/>
        <rFont val="Arial"/>
        <family val="2"/>
      </rPr>
      <t xml:space="preserve"> (Swartz) Link</t>
    </r>
  </si>
  <si>
    <t>Peucedanum schottii</t>
  </si>
  <si>
    <r>
      <rPr>
        <i/>
        <sz val="10"/>
        <rFont val="Arial"/>
        <family val="2"/>
      </rPr>
      <t xml:space="preserve">Dichoropetalum schottii </t>
    </r>
    <r>
      <rPr>
        <sz val="10"/>
        <rFont val="Arial"/>
        <family val="2"/>
      </rPr>
      <t>(DC.) Pimenov &amp; Kljuykov</t>
    </r>
  </si>
  <si>
    <t>Plantago cornuti</t>
  </si>
  <si>
    <r>
      <rPr>
        <i/>
        <sz val="10"/>
        <rFont val="Arial"/>
        <family val="2"/>
      </rPr>
      <t>Plantago cornutii</t>
    </r>
    <r>
      <rPr>
        <sz val="10"/>
        <rFont val="Arial"/>
        <family val="2"/>
      </rPr>
      <t xml:space="preserve"> Gouan</t>
    </r>
  </si>
  <si>
    <t>Polygala vayredae</t>
  </si>
  <si>
    <r>
      <rPr>
        <i/>
        <sz val="10"/>
        <rFont val="Arial"/>
        <family val="2"/>
      </rPr>
      <t>Polygaloides vayredae</t>
    </r>
    <r>
      <rPr>
        <sz val="10"/>
        <rFont val="Arial"/>
        <family val="2"/>
      </rPr>
      <t xml:space="preserve"> (Costa) O. Schwarz</t>
    </r>
  </si>
  <si>
    <t>(1) Posidonia oceanica</t>
  </si>
  <si>
    <r>
      <rPr>
        <i/>
        <sz val="10"/>
        <rFont val="Arial"/>
        <family val="2"/>
      </rPr>
      <t>Posidonia oceanica</t>
    </r>
    <r>
      <rPr>
        <sz val="10"/>
        <rFont val="Arial"/>
        <family val="2"/>
      </rPr>
      <t xml:space="preserve"> (L.) Delile</t>
    </r>
  </si>
  <si>
    <t>Posidonia oceánica</t>
  </si>
  <si>
    <t>Psilotum nudum subsp. molesworthiae</t>
  </si>
  <si>
    <r>
      <rPr>
        <i/>
        <sz val="10"/>
        <rFont val="Arial"/>
        <family val="2"/>
      </rPr>
      <t>Psilotum nudum</t>
    </r>
    <r>
      <rPr>
        <sz val="10"/>
        <rFont val="Arial"/>
        <family val="2"/>
      </rPr>
      <t xml:space="preserve"> (L.) P.Beauv.</t>
    </r>
  </si>
  <si>
    <r>
      <rPr>
        <i/>
        <sz val="10"/>
        <rFont val="Arial"/>
        <family val="2"/>
      </rPr>
      <t>Pteris incompleta</t>
    </r>
    <r>
      <rPr>
        <sz val="10"/>
        <rFont val="Arial"/>
        <family val="2"/>
      </rPr>
      <t xml:space="preserve"> Cav.</t>
    </r>
  </si>
  <si>
    <t>Helecha de monte</t>
  </si>
  <si>
    <t>Ptilophora mediterranea</t>
  </si>
  <si>
    <r>
      <rPr>
        <i/>
        <sz val="10"/>
        <rFont val="Arial"/>
        <family val="2"/>
      </rPr>
      <t>Ptilophora dentata</t>
    </r>
    <r>
      <rPr>
        <sz val="10"/>
        <rFont val="Arial"/>
        <family val="2"/>
      </rPr>
      <t xml:space="preserve"> (Kützing) Alongi, Cormaci &amp; G. Furnari</t>
    </r>
  </si>
  <si>
    <t>Puccinellia pungens</t>
  </si>
  <si>
    <r>
      <rPr>
        <i/>
        <sz val="10"/>
        <rFont val="Arial"/>
        <family val="2"/>
      </rPr>
      <t>Puccinellia pungens</t>
    </r>
    <r>
      <rPr>
        <sz val="10"/>
        <rFont val="Arial"/>
        <family val="2"/>
      </rPr>
      <t xml:space="preserve"> (Pau) Paunero</t>
    </r>
  </si>
  <si>
    <t>Pulicaria burchardii</t>
  </si>
  <si>
    <r>
      <rPr>
        <i/>
        <sz val="10"/>
        <rFont val="Arial"/>
        <family val="2"/>
      </rPr>
      <t>Pulicaria burchardii</t>
    </r>
    <r>
      <rPr>
        <sz val="10"/>
        <rFont val="Arial"/>
        <family val="2"/>
      </rPr>
      <t xml:space="preserve"> Hutch.</t>
    </r>
  </si>
  <si>
    <t>Dama</t>
  </si>
  <si>
    <t>Ranunculus parnassifolius</t>
  </si>
  <si>
    <r>
      <t>Ranunculus parnassifolius</t>
    </r>
    <r>
      <rPr>
        <sz val="10"/>
        <rFont val="Arial"/>
        <family val="2"/>
      </rPr>
      <t xml:space="preserve"> L.</t>
    </r>
  </si>
  <si>
    <t>Ranunculus weylerii</t>
  </si>
  <si>
    <r>
      <rPr>
        <i/>
        <sz val="10"/>
        <rFont val="Arial"/>
        <family val="2"/>
      </rPr>
      <t xml:space="preserve">Ranunculus weyleri </t>
    </r>
    <r>
      <rPr>
        <sz val="10"/>
        <rFont val="Arial"/>
        <family val="2"/>
      </rPr>
      <t>Willk.</t>
    </r>
  </si>
  <si>
    <t>Botó d’or</t>
  </si>
  <si>
    <t>Reseda jacquinii subsp. litigiosa</t>
  </si>
  <si>
    <r>
      <rPr>
        <i/>
        <sz val="10"/>
        <rFont val="Arial"/>
        <family val="2"/>
      </rPr>
      <t>Reseda jacquinii</t>
    </r>
    <r>
      <rPr>
        <sz val="10"/>
        <rFont val="Arial"/>
        <family val="2"/>
      </rPr>
      <t xml:space="preserve"> Rchb.</t>
    </r>
  </si>
  <si>
    <r>
      <rPr>
        <i/>
        <sz val="10"/>
        <rFont val="Arial"/>
        <family val="2"/>
      </rPr>
      <t>Riella helicophylla</t>
    </r>
    <r>
      <rPr>
        <sz val="10"/>
        <rFont val="Arial"/>
        <family val="2"/>
      </rPr>
      <t xml:space="preserve"> (Bory &amp; Mont.) Mont.</t>
    </r>
  </si>
  <si>
    <r>
      <rPr>
        <i/>
        <sz val="10"/>
        <rFont val="Arial"/>
        <family val="2"/>
      </rPr>
      <t>Rosmarinus tomentosu</t>
    </r>
    <r>
      <rPr>
        <sz val="10"/>
        <rFont val="Arial"/>
        <family val="2"/>
      </rPr>
      <t>s Hub.-Mor. &amp; Maire</t>
    </r>
  </si>
  <si>
    <t>Rumex rupestris</t>
  </si>
  <si>
    <r>
      <rPr>
        <i/>
        <sz val="10"/>
        <rFont val="Arial"/>
        <family val="2"/>
      </rPr>
      <t>Rumex rupestris</t>
    </r>
    <r>
      <rPr>
        <sz val="10"/>
        <rFont val="Arial"/>
        <family val="2"/>
      </rPr>
      <t xml:space="preserve"> Le Gall</t>
    </r>
  </si>
  <si>
    <t>Labaça de ribeira</t>
  </si>
  <si>
    <r>
      <rPr>
        <i/>
        <sz val="10"/>
        <rFont val="Arial"/>
        <family val="2"/>
      </rPr>
      <t>Rupicapnos africana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decipiens</t>
    </r>
    <r>
      <rPr>
        <sz val="10"/>
        <rFont val="Arial"/>
        <family val="2"/>
      </rPr>
      <t xml:space="preserve"> (Pugsley) Maire in Jahand. &amp; Maire</t>
    </r>
  </si>
  <si>
    <t>Ruta microcarpa</t>
  </si>
  <si>
    <r>
      <rPr>
        <i/>
        <sz val="10"/>
        <rFont val="Arial"/>
        <family val="2"/>
      </rPr>
      <t>Ruta microcarpa</t>
    </r>
    <r>
      <rPr>
        <sz val="10"/>
        <rFont val="Arial"/>
        <family val="2"/>
      </rPr>
      <t xml:space="preserve"> Svent.</t>
    </r>
  </si>
  <si>
    <t>Ruda gomera</t>
  </si>
  <si>
    <t>Seseli farrenyii</t>
  </si>
  <si>
    <r>
      <rPr>
        <i/>
        <sz val="10"/>
        <rFont val="Arial"/>
        <family val="2"/>
      </rPr>
      <t xml:space="preserve">Seseli farrenyi </t>
    </r>
    <r>
      <rPr>
        <sz val="10"/>
        <rFont val="Arial"/>
        <family val="2"/>
      </rPr>
      <t>Molero &amp; J.Pujadas</t>
    </r>
  </si>
  <si>
    <t>Silene sennenii</t>
  </si>
  <si>
    <r>
      <rPr>
        <i/>
        <sz val="10"/>
        <rFont val="Arial"/>
        <family val="2"/>
      </rPr>
      <t>Silene sennenii</t>
    </r>
    <r>
      <rPr>
        <sz val="10"/>
        <rFont val="Arial"/>
        <family val="2"/>
      </rPr>
      <t xml:space="preserve"> Pau</t>
    </r>
  </si>
  <si>
    <t>Sparganium natans</t>
  </si>
  <si>
    <r>
      <rPr>
        <i/>
        <sz val="10"/>
        <color theme="1"/>
        <rFont val="Arial"/>
        <family val="2"/>
      </rPr>
      <t>Sparganium natans</t>
    </r>
    <r>
      <rPr>
        <sz val="10"/>
        <color theme="1"/>
        <rFont val="Arial"/>
        <family val="2"/>
      </rPr>
      <t xml:space="preserve"> L.</t>
    </r>
  </si>
  <si>
    <t>Esparganio acuático, Platanaria de agua</t>
  </si>
  <si>
    <t>Stachys maritima</t>
  </si>
  <si>
    <r>
      <rPr>
        <i/>
        <sz val="10"/>
        <rFont val="Arial"/>
        <family val="2"/>
      </rPr>
      <t>Stachys maritima</t>
    </r>
    <r>
      <rPr>
        <sz val="10"/>
        <rFont val="Arial"/>
        <family val="2"/>
      </rPr>
      <t xml:space="preserve"> Gouan</t>
    </r>
  </si>
  <si>
    <t>Salvia herbanica</t>
  </si>
  <si>
    <r>
      <rPr>
        <i/>
        <sz val="10"/>
        <rFont val="Arial"/>
        <family val="2"/>
      </rPr>
      <t>Pleudia herbanica</t>
    </r>
    <r>
      <rPr>
        <sz val="10"/>
        <rFont val="Arial"/>
        <family val="2"/>
      </rPr>
      <t xml:space="preserve"> (A.Santos &amp; M.Fernández) M.Will, N.Schmalz &amp; Class.-Bockh.</t>
    </r>
  </si>
  <si>
    <t>Conservilla majorera</t>
  </si>
  <si>
    <t>Sambucus palmensis</t>
  </si>
  <si>
    <r>
      <rPr>
        <i/>
        <sz val="10"/>
        <rFont val="Arial"/>
        <family val="2"/>
      </rPr>
      <t>Sambucus nigra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palmensis</t>
    </r>
    <r>
      <rPr>
        <sz val="10"/>
        <rFont val="Arial"/>
        <family val="2"/>
      </rPr>
      <t xml:space="preserve"> (Link) Bolli</t>
    </r>
  </si>
  <si>
    <t>Saúco canario</t>
  </si>
  <si>
    <r>
      <rPr>
        <i/>
        <sz val="10"/>
        <rFont val="Arial"/>
        <family val="2"/>
      </rPr>
      <t>Santolina elegans</t>
    </r>
    <r>
      <rPr>
        <sz val="10"/>
        <rFont val="Arial"/>
        <family val="2"/>
      </rPr>
      <t xml:space="preserve"> Boiss. ex DC.</t>
    </r>
  </si>
  <si>
    <t>Santolina semidentata</t>
  </si>
  <si>
    <r>
      <rPr>
        <i/>
        <sz val="10"/>
        <rFont val="Arial"/>
        <family val="2"/>
      </rPr>
      <t xml:space="preserve">Santolina semidentata </t>
    </r>
    <r>
      <rPr>
        <sz val="10"/>
        <rFont val="Arial"/>
        <family val="2"/>
      </rPr>
      <t>Hoffmanns. &amp; Link.</t>
    </r>
  </si>
  <si>
    <t>Sarcocapnos baetica subsp. baetica</t>
  </si>
  <si>
    <r>
      <rPr>
        <i/>
        <sz val="10"/>
        <rFont val="Arial"/>
        <family val="2"/>
      </rPr>
      <t>Sarcocapnos baetica</t>
    </r>
    <r>
      <rPr>
        <sz val="10"/>
        <rFont val="Arial"/>
        <family val="2"/>
      </rPr>
      <t xml:space="preserve"> (Boiss. &amp; Reut.) Nyman</t>
    </r>
  </si>
  <si>
    <t>Sarcocapnos baetica subsp. integriflora</t>
  </si>
  <si>
    <r>
      <rPr>
        <i/>
        <sz val="10"/>
        <rFont val="Arial"/>
        <family val="2"/>
      </rPr>
      <t>Sarcocapnos integrifolia</t>
    </r>
    <r>
      <rPr>
        <sz val="10"/>
        <rFont val="Arial"/>
        <family val="2"/>
      </rPr>
      <t xml:space="preserve"> (Boiss.) Cuatrec.</t>
    </r>
  </si>
  <si>
    <r>
      <rPr>
        <i/>
        <sz val="10"/>
        <rFont val="Arial"/>
        <family val="2"/>
      </rPr>
      <t>Sarcocapnos speciosa</t>
    </r>
    <r>
      <rPr>
        <sz val="10"/>
        <rFont val="Arial"/>
        <family val="2"/>
      </rPr>
      <t xml:space="preserve"> Boiss.</t>
    </r>
  </si>
  <si>
    <r>
      <rPr>
        <i/>
        <sz val="10"/>
        <rFont val="Arial"/>
        <family val="2"/>
      </rPr>
      <t>Sargassum acinarium</t>
    </r>
    <r>
      <rPr>
        <sz val="10"/>
        <rFont val="Arial"/>
        <family val="2"/>
      </rPr>
      <t xml:space="preserve"> (Linnaeus) Setchell</t>
    </r>
  </si>
  <si>
    <t>Sargassum flavifolium</t>
  </si>
  <si>
    <r>
      <rPr>
        <i/>
        <sz val="10"/>
        <rFont val="Arial"/>
        <family val="2"/>
      </rPr>
      <t>Sargassum flavifolium</t>
    </r>
    <r>
      <rPr>
        <sz val="10"/>
        <rFont val="Arial"/>
        <family val="2"/>
      </rPr>
      <t xml:space="preserve"> Kützing</t>
    </r>
  </si>
  <si>
    <t>Sargassum hornschuchii</t>
  </si>
  <si>
    <r>
      <rPr>
        <i/>
        <sz val="10"/>
        <rFont val="Arial"/>
        <family val="2"/>
      </rPr>
      <t>Sargassum hornschuchii</t>
    </r>
    <r>
      <rPr>
        <sz val="10"/>
        <rFont val="Arial"/>
        <family val="2"/>
      </rPr>
      <t xml:space="preserve"> C. Agardh</t>
    </r>
  </si>
  <si>
    <r>
      <rPr>
        <i/>
        <sz val="10"/>
        <rFont val="Arial"/>
        <family val="2"/>
      </rPr>
      <t xml:space="preserve">Sargassum trichocarpum </t>
    </r>
    <r>
      <rPr>
        <sz val="10"/>
        <rFont val="Arial"/>
        <family val="2"/>
      </rPr>
      <t>J. Agardh</t>
    </r>
  </si>
  <si>
    <t>Saxifraga vayredana</t>
  </si>
  <si>
    <r>
      <rPr>
        <i/>
        <sz val="10"/>
        <rFont val="Arial"/>
        <family val="2"/>
      </rPr>
      <t>Saxifraga vayredana</t>
    </r>
    <r>
      <rPr>
        <sz val="10"/>
        <rFont val="Arial"/>
        <family val="2"/>
      </rPr>
      <t xml:space="preserve"> Luizet</t>
    </r>
  </si>
  <si>
    <r>
      <rPr>
        <i/>
        <sz val="10"/>
        <rFont val="Arial"/>
        <family val="2"/>
      </rPr>
      <t xml:space="preserve">Schimmelmannia schousboei </t>
    </r>
    <r>
      <rPr>
        <sz val="10"/>
        <rFont val="Arial"/>
        <family val="2"/>
      </rPr>
      <t>(J. Agardh) J. Agardh</t>
    </r>
  </si>
  <si>
    <t>Senecio elodes</t>
  </si>
  <si>
    <r>
      <rPr>
        <i/>
        <sz val="10"/>
        <rFont val="Arial"/>
        <family val="2"/>
      </rPr>
      <t>Tephroseris elodes</t>
    </r>
    <r>
      <rPr>
        <sz val="10"/>
        <rFont val="Arial"/>
        <family val="2"/>
      </rPr>
      <t xml:space="preserve"> (DC.) Holub</t>
    </r>
  </si>
  <si>
    <t>Senecio hermosae</t>
  </si>
  <si>
    <r>
      <rPr>
        <i/>
        <sz val="10"/>
        <rFont val="Arial"/>
        <family val="2"/>
      </rPr>
      <t>Bethencourtia hermosae</t>
    </r>
    <r>
      <rPr>
        <sz val="10"/>
        <rFont val="Arial"/>
        <family val="2"/>
      </rPr>
      <t xml:space="preserve"> (Pit.) G. Kunkel</t>
    </r>
  </si>
  <si>
    <t xml:space="preserve"> Turgiate gomero</t>
  </si>
  <si>
    <t>Nombre común corregido: Turgaite gomero (antes Turgiate gomero por error ortográfico)</t>
  </si>
  <si>
    <t>Senecio nevadensis</t>
  </si>
  <si>
    <r>
      <rPr>
        <i/>
        <sz val="10"/>
        <rFont val="Arial"/>
        <family val="2"/>
      </rPr>
      <t>Senecio nevadensis</t>
    </r>
    <r>
      <rPr>
        <sz val="10"/>
        <rFont val="Arial"/>
        <family val="2"/>
      </rPr>
      <t xml:space="preserve"> Boiss. &amp; Reut.</t>
    </r>
  </si>
  <si>
    <r>
      <rPr>
        <i/>
        <sz val="10"/>
        <rFont val="Arial"/>
        <family val="2"/>
      </rPr>
      <t>Seseli intricatum</t>
    </r>
    <r>
      <rPr>
        <sz val="10"/>
        <rFont val="Arial"/>
        <family val="2"/>
      </rPr>
      <t xml:space="preserve"> Boiss.</t>
    </r>
  </si>
  <si>
    <t>Sideritis cystosiphon</t>
  </si>
  <si>
    <r>
      <rPr>
        <i/>
        <sz val="10"/>
        <rFont val="Arial"/>
        <family val="2"/>
      </rPr>
      <t>Sideritis cystosiphon</t>
    </r>
    <r>
      <rPr>
        <sz val="10"/>
        <rFont val="Arial"/>
        <family val="2"/>
      </rPr>
      <t xml:space="preserve"> Svent.</t>
    </r>
  </si>
  <si>
    <t>Chajorra de Tamaimo</t>
  </si>
  <si>
    <t>Sideritis discolor</t>
  </si>
  <si>
    <r>
      <rPr>
        <i/>
        <sz val="10"/>
        <rFont val="Arial"/>
        <family val="2"/>
      </rPr>
      <t>Sideritis discolor</t>
    </r>
    <r>
      <rPr>
        <sz val="10"/>
        <rFont val="Arial"/>
        <family val="2"/>
      </rPr>
      <t xml:space="preserve"> Bolle</t>
    </r>
  </si>
  <si>
    <t>Salvia blanca de Doramas</t>
  </si>
  <si>
    <t>Sideritis glauca</t>
  </si>
  <si>
    <r>
      <rPr>
        <i/>
        <sz val="10"/>
        <rFont val="Arial"/>
        <family val="2"/>
      </rPr>
      <t>Sideritis glauca</t>
    </r>
    <r>
      <rPr>
        <sz val="10"/>
        <rFont val="Arial"/>
        <family val="2"/>
      </rPr>
      <t xml:space="preserve"> Cav.</t>
    </r>
  </si>
  <si>
    <t>Sideritis infernalis</t>
  </si>
  <si>
    <r>
      <rPr>
        <i/>
        <sz val="10"/>
        <rFont val="Arial"/>
        <family val="2"/>
      </rPr>
      <t>Sideritis infernalis</t>
    </r>
    <r>
      <rPr>
        <sz val="10"/>
        <rFont val="Arial"/>
        <family val="2"/>
      </rPr>
      <t xml:space="preserve"> Bolle</t>
    </r>
  </si>
  <si>
    <t>Chajorra de Adeje</t>
  </si>
  <si>
    <t>Sideritis javalambrensis</t>
  </si>
  <si>
    <r>
      <rPr>
        <i/>
        <sz val="10"/>
        <rFont val="Arial"/>
        <family val="2"/>
      </rPr>
      <t>Sideritis pungens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javalambrensis</t>
    </r>
    <r>
      <rPr>
        <sz val="10"/>
        <rFont val="Arial"/>
        <family val="2"/>
      </rPr>
      <t xml:space="preserve"> (Pau) Obón &amp; D. Rivera</t>
    </r>
  </si>
  <si>
    <t>Sideritis marmorea</t>
  </si>
  <si>
    <r>
      <rPr>
        <i/>
        <sz val="10"/>
        <rFont val="Arial"/>
        <family val="2"/>
      </rPr>
      <t>Sideritis marmorea</t>
    </r>
    <r>
      <rPr>
        <sz val="10"/>
        <rFont val="Arial"/>
        <family val="2"/>
      </rPr>
      <t xml:space="preserve"> Bolle</t>
    </r>
  </si>
  <si>
    <t>Chajorra de Aluce</t>
  </si>
  <si>
    <t>Sideritis serrata</t>
  </si>
  <si>
    <r>
      <rPr>
        <i/>
        <sz val="10"/>
        <rFont val="Arial"/>
        <family val="2"/>
      </rPr>
      <t>Sideritis serrata</t>
    </r>
    <r>
      <rPr>
        <sz val="10"/>
        <rFont val="Arial"/>
        <family val="2"/>
      </rPr>
      <t xml:space="preserve"> Lag.</t>
    </r>
  </si>
  <si>
    <t>Sideroxylon marmulano</t>
  </si>
  <si>
    <r>
      <rPr>
        <i/>
        <sz val="10"/>
        <rFont val="Arial"/>
        <family val="2"/>
      </rPr>
      <t>Sideroxylon canariense</t>
    </r>
    <r>
      <rPr>
        <sz val="10"/>
        <rFont val="Arial"/>
        <family val="2"/>
      </rPr>
      <t xml:space="preserve"> Leyens, Lobin &amp; A.Santos</t>
    </r>
  </si>
  <si>
    <t>Marmolán</t>
  </si>
  <si>
    <t>Silene hifacensis</t>
  </si>
  <si>
    <r>
      <rPr>
        <i/>
        <sz val="10"/>
        <rFont val="Arial"/>
        <family val="2"/>
      </rPr>
      <t>Silene hifacensis</t>
    </r>
    <r>
      <rPr>
        <sz val="10"/>
        <rFont val="Arial"/>
        <family val="2"/>
      </rPr>
      <t xml:space="preserve"> Willk.</t>
    </r>
  </si>
  <si>
    <t>Silene de Ifach</t>
  </si>
  <si>
    <t>Silene de Ifach, Silene d'Ifac</t>
  </si>
  <si>
    <r>
      <rPr>
        <i/>
        <sz val="10"/>
        <rFont val="Arial"/>
        <family val="2"/>
      </rPr>
      <t>Silene mariana</t>
    </r>
    <r>
      <rPr>
        <sz val="10"/>
        <rFont val="Arial"/>
        <family val="2"/>
      </rPr>
      <t xml:space="preserve"> Pau</t>
    </r>
  </si>
  <si>
    <t>Silene nocteolens</t>
  </si>
  <si>
    <r>
      <rPr>
        <i/>
        <sz val="10"/>
        <rFont val="Arial"/>
        <family val="2"/>
      </rPr>
      <t>Silene nocteolens</t>
    </r>
    <r>
      <rPr>
        <sz val="10"/>
        <rFont val="Arial"/>
        <family val="2"/>
      </rPr>
      <t xml:space="preserve"> Webb &amp; Berthel.</t>
    </r>
  </si>
  <si>
    <t>Canutillo del Teide</t>
  </si>
  <si>
    <r>
      <rPr>
        <i/>
        <sz val="10"/>
        <rFont val="Arial"/>
        <family val="2"/>
      </rPr>
      <t>Sisymbrium cavanillesianum</t>
    </r>
    <r>
      <rPr>
        <sz val="10"/>
        <rFont val="Arial"/>
        <family val="2"/>
      </rPr>
      <t xml:space="preserve"> Castrov. &amp; Valdés Berm.</t>
    </r>
  </si>
  <si>
    <t>Solanum lidii</t>
  </si>
  <si>
    <r>
      <rPr>
        <i/>
        <sz val="10"/>
        <rFont val="Arial"/>
        <family val="2"/>
      </rPr>
      <t>Solanum lidii</t>
    </r>
    <r>
      <rPr>
        <sz val="10"/>
        <rFont val="Arial"/>
        <family val="2"/>
      </rPr>
      <t xml:space="preserve"> Sunding</t>
    </r>
  </si>
  <si>
    <t>Pimentero de Temisas</t>
  </si>
  <si>
    <t>Solanum vespertilio subsp. doramae</t>
  </si>
  <si>
    <r>
      <rPr>
        <i/>
        <sz val="10"/>
        <rFont val="Arial"/>
        <family val="2"/>
      </rPr>
      <t>Solanum vespertilio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>doramae</t>
    </r>
    <r>
      <rPr>
        <sz val="10"/>
        <rFont val="Arial"/>
        <family val="2"/>
      </rPr>
      <t xml:space="preserve"> Marreno Rodr. &amp; González Martín</t>
    </r>
  </si>
  <si>
    <t>Rejalgadera de Doramas</t>
  </si>
  <si>
    <t>Soldanella villosa</t>
  </si>
  <si>
    <r>
      <rPr>
        <i/>
        <sz val="10"/>
        <rFont val="Arial"/>
        <family val="2"/>
      </rPr>
      <t xml:space="preserve">Soldanella villosa </t>
    </r>
    <r>
      <rPr>
        <sz val="10"/>
        <rFont val="Arial"/>
        <family val="2"/>
      </rPr>
      <t>Labarrère</t>
    </r>
  </si>
  <si>
    <t>Sonchus gandogeri</t>
  </si>
  <si>
    <r>
      <rPr>
        <i/>
        <sz val="10"/>
        <rFont val="Arial"/>
        <family val="2"/>
      </rPr>
      <t xml:space="preserve">Sonchus gandogeri </t>
    </r>
    <r>
      <rPr>
        <sz val="10"/>
        <rFont val="Arial"/>
        <family val="2"/>
      </rPr>
      <t>Pit.</t>
    </r>
  </si>
  <si>
    <t>Cerrajón de El Golfo</t>
  </si>
  <si>
    <t>Sphaerococcus rhizophylloides</t>
  </si>
  <si>
    <r>
      <rPr>
        <i/>
        <sz val="10"/>
        <rFont val="Arial"/>
        <family val="2"/>
      </rPr>
      <t>Sphaerococcus rhizophylloides</t>
    </r>
    <r>
      <rPr>
        <sz val="10"/>
        <rFont val="Arial"/>
        <family val="2"/>
      </rPr>
      <t xml:space="preserve"> J.J. Rodríguez y Femenías</t>
    </r>
  </si>
  <si>
    <t>Sphagnum pylaisii</t>
  </si>
  <si>
    <r>
      <rPr>
        <i/>
        <sz val="10"/>
        <rFont val="Arial"/>
        <family val="2"/>
      </rPr>
      <t>Sphagnum pylaesii</t>
    </r>
    <r>
      <rPr>
        <sz val="10"/>
        <rFont val="Arial"/>
        <family val="2"/>
      </rPr>
      <t xml:space="preserve"> Brid.</t>
    </r>
  </si>
  <si>
    <t>Spiranthes aestivalis</t>
  </si>
  <si>
    <r>
      <rPr>
        <i/>
        <sz val="10"/>
        <rFont val="Arial"/>
        <family val="2"/>
      </rPr>
      <t>Spiranthes aestivalis</t>
    </r>
    <r>
      <rPr>
        <sz val="10"/>
        <rFont val="Arial"/>
        <family val="2"/>
      </rPr>
      <t xml:space="preserve"> (Poir.) Rich.</t>
    </r>
  </si>
  <si>
    <t>Stemmacantha cynaroides</t>
  </si>
  <si>
    <r>
      <rPr>
        <i/>
        <sz val="10"/>
        <rFont val="Arial"/>
        <family val="2"/>
      </rPr>
      <t>Rhaponticum canariense</t>
    </r>
    <r>
      <rPr>
        <sz val="10"/>
        <rFont val="Arial"/>
        <family val="2"/>
      </rPr>
      <t xml:space="preserve"> DC.</t>
    </r>
  </si>
  <si>
    <t>Cardo de plata</t>
  </si>
  <si>
    <t>Sventenia bupleuroides</t>
  </si>
  <si>
    <r>
      <rPr>
        <i/>
        <sz val="10"/>
        <rFont val="Arial"/>
        <family val="2"/>
      </rPr>
      <t>Sventenia bupleuroides</t>
    </r>
    <r>
      <rPr>
        <sz val="10"/>
        <rFont val="Arial"/>
        <family val="2"/>
      </rPr>
      <t xml:space="preserve"> Font Quer</t>
    </r>
  </si>
  <si>
    <t>Lechugón de Sventenius</t>
  </si>
  <si>
    <t>Tanacetum oshanahanii</t>
  </si>
  <si>
    <r>
      <rPr>
        <i/>
        <sz val="10"/>
        <rFont val="Arial"/>
        <family val="2"/>
      </rPr>
      <t>Gonospermum oshanahanii</t>
    </r>
    <r>
      <rPr>
        <sz val="10"/>
        <rFont val="Arial"/>
        <family val="2"/>
      </rPr>
      <t xml:space="preserve"> (Marrero Rodr., Febles &amp; Suarez) Febles</t>
    </r>
  </si>
  <si>
    <t>Margarza de Guayedra</t>
  </si>
  <si>
    <t>Tanacetum ptarmiciflorum</t>
  </si>
  <si>
    <r>
      <rPr>
        <i/>
        <sz val="10"/>
        <rFont val="Arial"/>
        <family val="2"/>
      </rPr>
      <t>Gonospermum ptarmiciflorum</t>
    </r>
    <r>
      <rPr>
        <sz val="10"/>
        <rFont val="Arial"/>
        <family val="2"/>
      </rPr>
      <t xml:space="preserve"> (Webb) Febles</t>
    </r>
  </si>
  <si>
    <t>Magarza plateada</t>
  </si>
  <si>
    <t>Teline nervosa</t>
  </si>
  <si>
    <r>
      <rPr>
        <i/>
        <sz val="10"/>
        <rFont val="Arial"/>
        <family val="2"/>
      </rPr>
      <t>Rivasgodaya nervosa</t>
    </r>
    <r>
      <rPr>
        <sz val="10"/>
        <rFont val="Arial"/>
        <family val="2"/>
      </rPr>
      <t xml:space="preserve"> Esteve</t>
    </r>
  </si>
  <si>
    <t>Gildana peluda</t>
  </si>
  <si>
    <t>Teline rosmarinifolia subsp. rosmarinifolia</t>
  </si>
  <si>
    <r>
      <rPr>
        <i/>
        <sz val="10"/>
        <rFont val="Arial"/>
        <family val="2"/>
      </rPr>
      <t>Teline rosmarinifolia</t>
    </r>
    <r>
      <rPr>
        <sz val="10"/>
        <rFont val="Arial"/>
        <family val="2"/>
      </rPr>
      <t xml:space="preserve"> Webb &amp; Berthel. subsp. </t>
    </r>
    <r>
      <rPr>
        <i/>
        <sz val="10"/>
        <rFont val="Arial"/>
        <family val="2"/>
      </rPr>
      <t>rosmarinifolia</t>
    </r>
  </si>
  <si>
    <t>Gildana del Risco Blanco</t>
  </si>
  <si>
    <t>Teline rosmarinifolia subsp. eurifolia</t>
  </si>
  <si>
    <r>
      <rPr>
        <i/>
        <sz val="10"/>
        <rFont val="Arial"/>
        <family val="2"/>
      </rPr>
      <t>Teline rosmarinifolia</t>
    </r>
    <r>
      <rPr>
        <sz val="10"/>
        <rFont val="Arial"/>
        <family val="2"/>
      </rPr>
      <t xml:space="preserve"> subsp. </t>
    </r>
    <r>
      <rPr>
        <i/>
        <sz val="10"/>
        <rFont val="Arial"/>
        <family val="2"/>
      </rPr>
      <t xml:space="preserve">eurifolia </t>
    </r>
    <r>
      <rPr>
        <sz val="10"/>
        <rFont val="Arial"/>
        <family val="2"/>
      </rPr>
      <t>del Arco</t>
    </r>
  </si>
  <si>
    <t>Gildana de Faneque</t>
  </si>
  <si>
    <t>Teline salsoloides</t>
  </si>
  <si>
    <r>
      <rPr>
        <i/>
        <sz val="10"/>
        <rFont val="Arial"/>
        <family val="2"/>
      </rPr>
      <t>Teline salsoloides</t>
    </r>
    <r>
      <rPr>
        <sz val="10"/>
        <rFont val="Arial"/>
        <family val="2"/>
      </rPr>
      <t xml:space="preserve"> del Arco &amp; Acebes</t>
    </r>
  </si>
  <si>
    <t>Retamón de El Fraile</t>
  </si>
  <si>
    <t>Tenarea tortuosa</t>
  </si>
  <si>
    <r>
      <rPr>
        <i/>
        <sz val="10"/>
        <rFont val="Arial"/>
        <family val="2"/>
      </rPr>
      <t>Tenarea tortuosa</t>
    </r>
    <r>
      <rPr>
        <sz val="10"/>
        <rFont val="Arial"/>
        <family val="2"/>
      </rPr>
      <t xml:space="preserve"> (Esper) Me.Lemoine, 1910</t>
    </r>
  </si>
  <si>
    <t>Tetraclinis articulata</t>
  </si>
  <si>
    <r>
      <rPr>
        <i/>
        <sz val="10"/>
        <rFont val="Arial"/>
        <family val="2"/>
      </rPr>
      <t>Tetraclinis articulata</t>
    </r>
    <r>
      <rPr>
        <sz val="10"/>
        <rFont val="Arial"/>
        <family val="2"/>
      </rPr>
      <t xml:space="preserve"> (Vahl) Mast.</t>
    </r>
  </si>
  <si>
    <r>
      <rPr>
        <i/>
        <sz val="10"/>
        <rFont val="Arial"/>
        <family val="2"/>
      </rPr>
      <t>Teucrium charidemi</t>
    </r>
    <r>
      <rPr>
        <sz val="10"/>
        <rFont val="Arial"/>
        <family val="2"/>
      </rPr>
      <t xml:space="preserve"> Sandwith</t>
    </r>
  </si>
  <si>
    <t>Teucrium lepicephalum</t>
  </si>
  <si>
    <r>
      <rPr>
        <i/>
        <sz val="10"/>
        <rFont val="Arial"/>
        <family val="2"/>
      </rPr>
      <t>Teucrium lepicephalum</t>
    </r>
    <r>
      <rPr>
        <sz val="10"/>
        <rFont val="Arial"/>
        <family val="2"/>
      </rPr>
      <t xml:space="preserve"> Pau</t>
    </r>
  </si>
  <si>
    <r>
      <rPr>
        <i/>
        <sz val="10"/>
        <rFont val="Arial"/>
        <family val="2"/>
      </rPr>
      <t>Teucrium turredanum</t>
    </r>
    <r>
      <rPr>
        <sz val="10"/>
        <rFont val="Arial"/>
        <family val="2"/>
      </rPr>
      <t xml:space="preserve"> Losa &amp; Rivas Goday</t>
    </r>
  </si>
  <si>
    <t>Thorella verticillatinundata</t>
  </si>
  <si>
    <r>
      <rPr>
        <i/>
        <sz val="10"/>
        <rFont val="Arial"/>
        <family val="2"/>
      </rPr>
      <t>Caropsis verticillato-inundata</t>
    </r>
    <r>
      <rPr>
        <sz val="10"/>
        <rFont val="Arial"/>
        <family val="2"/>
      </rPr>
      <t xml:space="preserve"> (Thore) Rauschert</t>
    </r>
  </si>
  <si>
    <t>Thymelaea broteriana</t>
  </si>
  <si>
    <r>
      <rPr>
        <i/>
        <sz val="10"/>
        <rFont val="Arial"/>
        <family val="2"/>
      </rPr>
      <t>Thymelaea broteriana</t>
    </r>
    <r>
      <rPr>
        <sz val="10"/>
        <rFont val="Arial"/>
        <family val="2"/>
      </rPr>
      <t xml:space="preserve"> Cout.</t>
    </r>
  </si>
  <si>
    <t>Pajarera portuguesa</t>
  </si>
  <si>
    <r>
      <rPr>
        <i/>
        <sz val="10"/>
        <rFont val="Arial"/>
        <family val="2"/>
      </rPr>
      <t>Thymelaea lythroides</t>
    </r>
    <r>
      <rPr>
        <sz val="10"/>
        <rFont val="Arial"/>
        <family val="2"/>
      </rPr>
      <t xml:space="preserve"> Barratte &amp; Murb.</t>
    </r>
  </si>
  <si>
    <r>
      <rPr>
        <i/>
        <sz val="10"/>
        <rFont val="Arial"/>
        <family val="2"/>
      </rPr>
      <t>Thymus albicans</t>
    </r>
    <r>
      <rPr>
        <sz val="10"/>
        <rFont val="Arial"/>
        <family val="2"/>
      </rPr>
      <t xml:space="preserve"> Hoffmanns. &amp; Link</t>
    </r>
  </si>
  <si>
    <r>
      <rPr>
        <i/>
        <sz val="10"/>
        <rFont val="Arial"/>
        <family val="2"/>
      </rPr>
      <t>Thymus carnosus</t>
    </r>
    <r>
      <rPr>
        <sz val="10"/>
        <rFont val="Arial"/>
        <family val="2"/>
      </rPr>
      <t xml:space="preserve"> Boiss.</t>
    </r>
  </si>
  <si>
    <t>Thymus loscosii</t>
  </si>
  <si>
    <r>
      <rPr>
        <i/>
        <sz val="10"/>
        <rFont val="Arial"/>
        <family val="2"/>
      </rPr>
      <t>Thymus loscosii</t>
    </r>
    <r>
      <rPr>
        <sz val="10"/>
        <rFont val="Arial"/>
        <family val="2"/>
      </rPr>
      <t xml:space="preserve"> Willk. </t>
    </r>
  </si>
  <si>
    <t>Tomillo sanjuanero</t>
  </si>
  <si>
    <t>Titanoderma ramosissimum</t>
  </si>
  <si>
    <r>
      <rPr>
        <i/>
        <sz val="10"/>
        <rFont val="Arial"/>
        <family val="2"/>
      </rPr>
      <t>Titanoderma ramosissimum</t>
    </r>
    <r>
      <rPr>
        <sz val="10"/>
        <rFont val="Arial"/>
        <family val="2"/>
      </rPr>
      <t xml:space="preserve"> (Heydrich) Bressan et Cabioch</t>
    </r>
  </si>
  <si>
    <t>Titanoderma trochanter</t>
  </si>
  <si>
    <r>
      <t xml:space="preserve">Titanoderma trochanter </t>
    </r>
    <r>
      <rPr>
        <sz val="10"/>
        <color theme="1"/>
        <rFont val="Arial"/>
        <family val="2"/>
      </rPr>
      <t>(Bory) Benhissoune, Boudouresque, Perret-Boudouresque &amp; Verlaque</t>
    </r>
  </si>
  <si>
    <t>Tolpis glabrescens</t>
  </si>
  <si>
    <r>
      <rPr>
        <i/>
        <sz val="10"/>
        <rFont val="Arial"/>
        <family val="2"/>
      </rPr>
      <t>Tolpis glabrescens</t>
    </r>
    <r>
      <rPr>
        <sz val="10"/>
        <rFont val="Arial"/>
        <family val="2"/>
      </rPr>
      <t xml:space="preserve"> Kämmer</t>
    </r>
  </si>
  <si>
    <t>Lechuguilla de Chinobre</t>
  </si>
  <si>
    <t>Trichomanes speciosum</t>
  </si>
  <si>
    <r>
      <rPr>
        <i/>
        <sz val="10"/>
        <rFont val="Arial"/>
        <family val="2"/>
      </rPr>
      <t>Vandenboschia speciosa</t>
    </r>
    <r>
      <rPr>
        <sz val="10"/>
        <rFont val="Arial"/>
        <family val="2"/>
      </rPr>
      <t xml:space="preserve"> (Willd.) G.Kunkel</t>
    </r>
  </si>
  <si>
    <t>Helecho de cristal</t>
  </si>
  <si>
    <t>Veronica micrantha</t>
  </si>
  <si>
    <r>
      <rPr>
        <i/>
        <sz val="10"/>
        <rFont val="Arial"/>
        <family val="2"/>
      </rPr>
      <t>Veronica micrantha</t>
    </r>
    <r>
      <rPr>
        <sz val="10"/>
        <rFont val="Arial"/>
        <family val="2"/>
      </rPr>
      <t xml:space="preserve"> Hoffmanns. &amp; Link</t>
    </r>
  </si>
  <si>
    <t>Vicia bifoliolata</t>
  </si>
  <si>
    <r>
      <rPr>
        <i/>
        <sz val="10"/>
        <rFont val="Arial"/>
        <family val="2"/>
      </rPr>
      <t xml:space="preserve">Ervum bifoliolatum </t>
    </r>
    <r>
      <rPr>
        <sz val="10"/>
        <rFont val="Arial"/>
        <family val="2"/>
      </rPr>
      <t>(J.J. Rodr.) Stank.</t>
    </r>
  </si>
  <si>
    <t>Vessa</t>
  </si>
  <si>
    <r>
      <rPr>
        <i/>
        <sz val="10"/>
        <rFont val="Arial"/>
        <family val="2"/>
      </rPr>
      <t>Viola cazorlensis</t>
    </r>
    <r>
      <rPr>
        <sz val="10"/>
        <rFont val="Arial"/>
        <family val="2"/>
      </rPr>
      <t xml:space="preserve"> Gand.</t>
    </r>
  </si>
  <si>
    <t>Viola cheiranthifolia</t>
  </si>
  <si>
    <r>
      <rPr>
        <i/>
        <sz val="10"/>
        <rFont val="Arial"/>
        <family val="2"/>
      </rPr>
      <t>Viola cheiranthifolia</t>
    </r>
    <r>
      <rPr>
        <sz val="10"/>
        <rFont val="Arial"/>
        <family val="2"/>
      </rPr>
      <t xml:space="preserve"> Humb. &amp; Bonpl.</t>
    </r>
  </si>
  <si>
    <t>Violeta del Teide</t>
  </si>
  <si>
    <t>Viola jaubertiana</t>
  </si>
  <si>
    <r>
      <rPr>
        <i/>
        <sz val="10"/>
        <color theme="1"/>
        <rFont val="Arial"/>
        <family val="2"/>
      </rPr>
      <t>Viola jaubertiana</t>
    </r>
    <r>
      <rPr>
        <sz val="10"/>
        <color theme="1"/>
        <rFont val="Arial"/>
        <family val="2"/>
      </rPr>
      <t xml:space="preserve"> Marès &amp; Vigin.</t>
    </r>
  </si>
  <si>
    <r>
      <rPr>
        <i/>
        <sz val="10"/>
        <rFont val="Arial"/>
        <family val="2"/>
      </rPr>
      <t>Festuca donyanae</t>
    </r>
    <r>
      <rPr>
        <sz val="10"/>
        <rFont val="Arial"/>
        <family val="2"/>
      </rPr>
      <t xml:space="preserve"> Devesa &amp; Martínez-Sagarra</t>
    </r>
  </si>
  <si>
    <t>Woodsia pulchella</t>
  </si>
  <si>
    <r>
      <rPr>
        <i/>
        <sz val="10"/>
        <rFont val="Arial"/>
        <family val="2"/>
      </rPr>
      <t xml:space="preserve">Woodsia pulchella </t>
    </r>
    <r>
      <rPr>
        <sz val="10"/>
        <rFont val="Arial"/>
        <family val="2"/>
      </rPr>
      <t>(Bertol.) A. Löve &amp; D. Löve</t>
    </r>
  </si>
  <si>
    <t>Woodwardia radicans</t>
  </si>
  <si>
    <r>
      <rPr>
        <i/>
        <sz val="10"/>
        <color theme="1"/>
        <rFont val="Arial"/>
        <family val="2"/>
      </rPr>
      <t>Woodwardia radicans</t>
    </r>
    <r>
      <rPr>
        <sz val="10"/>
        <color theme="1"/>
        <rFont val="Arial"/>
        <family val="2"/>
      </rPr>
      <t xml:space="preserve"> (L.) Sm.</t>
    </r>
  </si>
  <si>
    <t>Píjara</t>
  </si>
  <si>
    <r>
      <rPr>
        <i/>
        <sz val="10"/>
        <color theme="1"/>
        <rFont val="Arial"/>
        <family val="2"/>
      </rPr>
      <t>Zostera marina</t>
    </r>
    <r>
      <rPr>
        <sz val="10"/>
        <color theme="1"/>
        <rFont val="Arial"/>
        <family val="2"/>
      </rPr>
      <t xml:space="preserve"> L.</t>
    </r>
  </si>
  <si>
    <t>Agriades zullichi Hemming, 1933</t>
  </si>
  <si>
    <r>
      <rPr>
        <i/>
        <sz val="10"/>
        <rFont val="Arial"/>
        <family val="2"/>
      </rPr>
      <t>Agriades zullichi</t>
    </r>
    <r>
      <rPr>
        <sz val="10"/>
        <rFont val="Arial"/>
        <family val="2"/>
      </rPr>
      <t xml:space="preserve"> Hemming, 1933</t>
    </r>
  </si>
  <si>
    <t>Alpina de Sierra Nevada, Mariposa del Puerto del Lobo</t>
  </si>
  <si>
    <t>Asbestopluma hypogea</t>
  </si>
  <si>
    <r>
      <rPr>
        <i/>
        <sz val="11"/>
        <color rgb="FF000000"/>
        <rFont val="Calibri"/>
        <family val="2"/>
      </rPr>
      <t>Lycopodina hypogea</t>
    </r>
    <r>
      <rPr>
        <sz val="11"/>
        <color rgb="FF000000"/>
        <rFont val="Calibri"/>
        <family val="2"/>
      </rPr>
      <t xml:space="preserve"> (Vacelet &amp; Boury-Esnault, 1996)</t>
    </r>
  </si>
  <si>
    <t>Austropotamobius pallipes</t>
  </si>
  <si>
    <r>
      <rPr>
        <i/>
        <sz val="10"/>
        <color theme="1"/>
        <rFont val="Arial"/>
        <family val="2"/>
      </rPr>
      <t xml:space="preserve">Austropotamobius fulcisianus </t>
    </r>
    <r>
      <rPr>
        <sz val="10"/>
        <color theme="1"/>
        <rFont val="Arial"/>
        <family val="2"/>
      </rPr>
      <t>(Ninni, 1886)</t>
    </r>
  </si>
  <si>
    <t>Cangrejo de río</t>
  </si>
  <si>
    <r>
      <rPr>
        <i/>
        <sz val="10"/>
        <color theme="1"/>
        <rFont val="Arial"/>
        <family val="2"/>
      </rPr>
      <t>Coenagrion mercuriale</t>
    </r>
    <r>
      <rPr>
        <sz val="10"/>
        <color theme="1"/>
        <rFont val="Arial"/>
        <family val="2"/>
      </rPr>
      <t xml:space="preserve"> (Charpentier, 1840)</t>
    </r>
  </si>
  <si>
    <t>Nombre común actual: Caballito del diablo</t>
  </si>
  <si>
    <t>Cucujus cinnaberinus</t>
  </si>
  <si>
    <r>
      <rPr>
        <i/>
        <sz val="10"/>
        <color theme="1"/>
        <rFont val="Arial"/>
        <family val="2"/>
      </rPr>
      <t>Cucujus cinnaberinus</t>
    </r>
    <r>
      <rPr>
        <sz val="10"/>
        <color theme="1"/>
        <rFont val="Arial"/>
        <family val="2"/>
      </rPr>
      <t xml:space="preserve"> (Scopoli, 1774)</t>
    </r>
  </si>
  <si>
    <r>
      <rPr>
        <i/>
        <sz val="10"/>
        <color theme="1"/>
        <rFont val="Arial"/>
        <family val="2"/>
      </rPr>
      <t>Cymbula safiana</t>
    </r>
    <r>
      <rPr>
        <sz val="10"/>
        <color theme="1"/>
        <rFont val="Arial"/>
        <family val="2"/>
      </rPr>
      <t xml:space="preserve"> (Lamarck, 1819)</t>
    </r>
  </si>
  <si>
    <r>
      <rPr>
        <i/>
        <sz val="10"/>
        <color theme="1"/>
        <rFont val="Arial"/>
        <family val="2"/>
      </rPr>
      <t>Dendropoma lebeche</t>
    </r>
    <r>
      <rPr>
        <sz val="10"/>
        <color theme="1"/>
        <rFont val="Arial"/>
        <family val="2"/>
      </rPr>
      <t xml:space="preserve"> Templado, Richter &amp; Calvo, 2016 </t>
    </r>
  </si>
  <si>
    <t>Dorysthenes (Opisognathus) forficatus</t>
  </si>
  <si>
    <r>
      <t>Opisognathus forficatus</t>
    </r>
    <r>
      <rPr>
        <sz val="10"/>
        <color theme="1"/>
        <rFont val="Arial"/>
        <family val="2"/>
      </rPr>
      <t> (Fabricius, 1798)</t>
    </r>
  </si>
  <si>
    <t>Elona quimperiana</t>
  </si>
  <si>
    <r>
      <rPr>
        <i/>
        <sz val="10"/>
        <rFont val="Arial"/>
        <family val="2"/>
      </rPr>
      <t>Elona quimperiana</t>
    </r>
    <r>
      <rPr>
        <sz val="10"/>
        <rFont val="Arial"/>
        <family val="2"/>
      </rPr>
      <t xml:space="preserve"> (Blainville, 1821)</t>
    </r>
  </si>
  <si>
    <t>Nombre común actual: Caracol de Quimper, Caracol moteado</t>
  </si>
  <si>
    <t>Eriogaster catax</t>
  </si>
  <si>
    <r>
      <rPr>
        <i/>
        <sz val="10"/>
        <rFont val="Arial"/>
        <family val="2"/>
      </rPr>
      <t>Eriogaster catax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</si>
  <si>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Errina aspera</t>
    </r>
    <r>
      <rPr>
        <sz val="10"/>
        <rFont val="Arial"/>
        <family val="2"/>
      </rPr>
      <t xml:space="preserve"> (Linnaeus, 1767)</t>
    </r>
  </si>
  <si>
    <r>
      <rPr>
        <i/>
        <sz val="10"/>
        <rFont val="Arial"/>
        <family val="2"/>
      </rPr>
      <t>Euphydryas aurinia</t>
    </r>
    <r>
      <rPr>
        <sz val="10"/>
        <rFont val="Arial"/>
        <family val="2"/>
      </rPr>
      <t xml:space="preserve"> (Rottemburg, 1775)</t>
    </r>
  </si>
  <si>
    <t xml:space="preserve">Nombre común actual: Doncella de ondas rojas </t>
  </si>
  <si>
    <t>Gegenes pumilio (Hoffmannsegg, 1804)</t>
  </si>
  <si>
    <r>
      <t xml:space="preserve">Gegenes pumilio </t>
    </r>
    <r>
      <rPr>
        <sz val="10"/>
        <rFont val="Arial"/>
        <family val="2"/>
      </rPr>
      <t>(Hoffmannsegg, 1804)</t>
    </r>
  </si>
  <si>
    <t>Veloz balear</t>
  </si>
  <si>
    <r>
      <rPr>
        <i/>
        <sz val="10"/>
        <rFont val="Arial"/>
        <family val="2"/>
      </rPr>
      <t>Geodia cydonium</t>
    </r>
    <r>
      <rPr>
        <sz val="10"/>
        <rFont val="Arial"/>
        <family val="2"/>
      </rPr>
      <t xml:space="preserve"> (Linnaeus, 1767)</t>
    </r>
  </si>
  <si>
    <t>Gibbula nivosa</t>
  </si>
  <si>
    <r>
      <t xml:space="preserve">Steromphala nivosa </t>
    </r>
    <r>
      <rPr>
        <sz val="10"/>
        <color theme="1"/>
        <rFont val="Arial"/>
        <family val="2"/>
      </rPr>
      <t>(A. Adams, 1853)</t>
    </r>
  </si>
  <si>
    <t>Lopinga achine</t>
  </si>
  <si>
    <r>
      <rPr>
        <i/>
        <sz val="10"/>
        <rFont val="Arial"/>
        <family val="2"/>
      </rPr>
      <t>Lopinga achine</t>
    </r>
    <r>
      <rPr>
        <sz val="10"/>
        <rFont val="Arial"/>
        <family val="2"/>
      </rPr>
      <t xml:space="preserve"> (Scopoli, 1763)</t>
    </r>
  </si>
  <si>
    <t xml:space="preserve">Nombre común actual: Lopinga </t>
  </si>
  <si>
    <t>Lucanus cervus</t>
  </si>
  <si>
    <r>
      <rPr>
        <i/>
        <sz val="10"/>
        <rFont val="Arial"/>
        <family val="2"/>
      </rPr>
      <t>Lucanus cervus</t>
    </r>
    <r>
      <rPr>
        <sz val="10"/>
        <rFont val="Arial"/>
        <family val="2"/>
      </rPr>
      <t xml:space="preserve"> Linnaeus, 1758</t>
    </r>
  </si>
  <si>
    <t>Nombre común actual: Ciervo volante</t>
  </si>
  <si>
    <r>
      <t>Episcomitra zonata (</t>
    </r>
    <r>
      <rPr>
        <sz val="10"/>
        <color theme="1"/>
        <rFont val="Arial"/>
        <family val="2"/>
      </rPr>
      <t>Marryat, 1819)</t>
    </r>
  </si>
  <si>
    <t>Ocypode cursor</t>
  </si>
  <si>
    <r>
      <t xml:space="preserve">Ocypode cursor </t>
    </r>
    <r>
      <rPr>
        <sz val="10"/>
        <color theme="1"/>
        <rFont val="Arial"/>
        <family val="2"/>
      </rPr>
      <t>(Linnaeus, 1758)</t>
    </r>
  </si>
  <si>
    <t>Ophiogomphus cecilia</t>
  </si>
  <si>
    <r>
      <rPr>
        <i/>
        <sz val="10"/>
        <rFont val="Arial"/>
        <family val="2"/>
      </rPr>
      <t>Ophiogomphus cecilia</t>
    </r>
    <r>
      <rPr>
        <sz val="10"/>
        <rFont val="Arial"/>
        <family val="2"/>
      </rPr>
      <t xml:space="preserve"> (Geoffroy en Fourcroy, 1785)</t>
    </r>
  </si>
  <si>
    <t>Pachylasma giganteum</t>
  </si>
  <si>
    <r>
      <t xml:space="preserve">Pachylasma giganteum </t>
    </r>
    <r>
      <rPr>
        <sz val="10"/>
        <color theme="1"/>
        <rFont val="Arial"/>
        <family val="2"/>
      </rPr>
      <t>(Philippi, 1836)</t>
    </r>
  </si>
  <si>
    <t>Petrobiona massiliana</t>
  </si>
  <si>
    <r>
      <t xml:space="preserve">Petrobiona massiliana </t>
    </r>
    <r>
      <rPr>
        <sz val="10"/>
        <color theme="1"/>
        <rFont val="Arial"/>
        <family val="2"/>
      </rPr>
      <t>Vacelet &amp; Lévi, 1958</t>
    </r>
  </si>
  <si>
    <r>
      <rPr>
        <i/>
        <sz val="10"/>
        <rFont val="Arial"/>
        <family val="2"/>
      </rPr>
      <t>Parnassius apollo</t>
    </r>
    <r>
      <rPr>
        <sz val="10"/>
        <rFont val="Arial"/>
        <family val="2"/>
      </rPr>
      <t xml:space="preserve"> (Linnaeus, 1758)</t>
    </r>
  </si>
  <si>
    <t xml:space="preserve">Nombre común actual: Apolo </t>
  </si>
  <si>
    <t>Parnassius mnemosyne</t>
  </si>
  <si>
    <r>
      <rPr>
        <i/>
        <sz val="10"/>
        <rFont val="Arial"/>
        <family val="2"/>
      </rPr>
      <t>Parnassius mnemosyne</t>
    </r>
    <r>
      <rPr>
        <sz val="10"/>
        <rFont val="Arial"/>
        <family val="2"/>
      </rPr>
      <t xml:space="preserve"> (Linnaeus, 1758)</t>
    </r>
  </si>
  <si>
    <t xml:space="preserve">Nombre común actual: Blanca de Asso </t>
  </si>
  <si>
    <t>Rhopalomesites euphorbiae</t>
  </si>
  <si>
    <r>
      <rPr>
        <i/>
        <sz val="10"/>
        <rFont val="Arial"/>
        <family val="2"/>
      </rPr>
      <t xml:space="preserve">Rhopalomesites proximus </t>
    </r>
    <r>
      <rPr>
        <sz val="10"/>
        <rFont val="Arial"/>
        <family val="2"/>
      </rPr>
      <t>(Wollaston, 1861)</t>
    </r>
  </si>
  <si>
    <t>Picudo de la tabaiba de monte</t>
  </si>
  <si>
    <t>Unio tumidiformis</t>
  </si>
  <si>
    <r>
      <rPr>
        <i/>
        <sz val="10"/>
        <color theme="1"/>
        <rFont val="Arial"/>
        <family val="2"/>
      </rPr>
      <t>Unio tumidiformis</t>
    </r>
    <r>
      <rPr>
        <sz val="10"/>
        <color theme="1"/>
        <rFont val="Arial"/>
        <family val="2"/>
      </rPr>
      <t xml:space="preserve"> Castro, 1885</t>
    </r>
  </si>
  <si>
    <t>Náyade túmida</t>
  </si>
  <si>
    <t>Acrostira euphorbiae</t>
  </si>
  <si>
    <r>
      <rPr>
        <i/>
        <sz val="10"/>
        <rFont val="Arial"/>
        <family val="2"/>
      </rPr>
      <t>Acrostira euphorbiae</t>
    </r>
    <r>
      <rPr>
        <sz val="10"/>
        <rFont val="Arial"/>
        <family val="2"/>
      </rPr>
      <t xml:space="preserve"> García &amp; Oromí, 1992</t>
    </r>
  </si>
  <si>
    <t>Cigarrón palo palmero</t>
  </si>
  <si>
    <t>Antipathella subpinnata</t>
  </si>
  <si>
    <r>
      <rPr>
        <i/>
        <sz val="10"/>
        <rFont val="Arial"/>
        <family val="2"/>
      </rPr>
      <t>Antipathella subpinnata</t>
    </r>
    <r>
      <rPr>
        <sz val="10"/>
        <rFont val="Arial"/>
        <family val="2"/>
      </rPr>
      <t xml:space="preserve"> (Ellis &amp; Solander, 1786)</t>
    </r>
  </si>
  <si>
    <t>Coral negro</t>
  </si>
  <si>
    <t>Antipathes dichotoma</t>
  </si>
  <si>
    <r>
      <rPr>
        <i/>
        <sz val="10"/>
        <rFont val="Arial"/>
        <family val="2"/>
      </rPr>
      <t>Antipathes dichotoma</t>
    </r>
    <r>
      <rPr>
        <sz val="10"/>
        <rFont val="Arial"/>
        <family val="2"/>
      </rPr>
      <t xml:space="preserve"> Pallas, 1766</t>
    </r>
  </si>
  <si>
    <t>Coral negro ramificado</t>
  </si>
  <si>
    <t>(3) Aplysina sp.</t>
  </si>
  <si>
    <r>
      <rPr>
        <i/>
        <sz val="10"/>
        <color theme="1"/>
        <rFont val="Arial"/>
        <family val="2"/>
      </rPr>
      <t>Aplysina</t>
    </r>
    <r>
      <rPr>
        <sz val="10"/>
        <color theme="1"/>
        <rFont val="Arial"/>
        <family val="2"/>
      </rPr>
      <t xml:space="preserve"> Nardo, 1834</t>
    </r>
  </si>
  <si>
    <r>
      <rPr>
        <i/>
        <sz val="10"/>
        <rFont val="Arial"/>
        <family val="2"/>
      </rPr>
      <t>Apteromantis aptera</t>
    </r>
    <r>
      <rPr>
        <sz val="10"/>
        <rFont val="Arial"/>
        <family val="2"/>
      </rPr>
      <t xml:space="preserve"> (Fuente, 1984)</t>
    </r>
  </si>
  <si>
    <t>Asterina pancerii</t>
  </si>
  <si>
    <r>
      <rPr>
        <i/>
        <sz val="10"/>
        <rFont val="Arial"/>
        <family val="2"/>
      </rPr>
      <t>Asterina pancerii</t>
    </r>
    <r>
      <rPr>
        <sz val="10"/>
        <rFont val="Arial"/>
        <family val="2"/>
      </rPr>
      <t xml:space="preserve"> (Gasco, 1870)</t>
    </r>
  </si>
  <si>
    <t>Astroides calycularis</t>
  </si>
  <si>
    <r>
      <rPr>
        <i/>
        <sz val="10"/>
        <rFont val="Arial"/>
        <family val="2"/>
      </rPr>
      <t>Astroides calycularis</t>
    </r>
    <r>
      <rPr>
        <sz val="10"/>
        <rFont val="Arial"/>
        <family val="2"/>
      </rPr>
      <t xml:space="preserve"> (Pallas, 1766)</t>
    </r>
  </si>
  <si>
    <t>Axinella cannabina</t>
  </si>
  <si>
    <r>
      <t xml:space="preserve">Axinella cannabina </t>
    </r>
    <r>
      <rPr>
        <sz val="10"/>
        <color theme="1"/>
        <rFont val="Arial"/>
        <family val="2"/>
      </rPr>
      <t>(Esper, 1794)</t>
    </r>
  </si>
  <si>
    <r>
      <rPr>
        <i/>
        <sz val="10"/>
        <color theme="1"/>
        <rFont val="Arial"/>
        <family val="2"/>
      </rPr>
      <t>Axinella polypoides</t>
    </r>
    <r>
      <rPr>
        <sz val="10"/>
        <color theme="1"/>
        <rFont val="Arial"/>
        <family val="2"/>
      </rPr>
      <t xml:space="preserve"> Schmidt, 1862</t>
    </r>
  </si>
  <si>
    <t xml:space="preserve">Nombre común actual: Esponja cornuda </t>
  </si>
  <si>
    <t>Baetica ustulata</t>
  </si>
  <si>
    <r>
      <rPr>
        <i/>
        <sz val="10"/>
        <color theme="1"/>
        <rFont val="Arial"/>
        <family val="2"/>
      </rPr>
      <t>Baetica ustulata</t>
    </r>
    <r>
      <rPr>
        <sz val="10"/>
        <color theme="1"/>
        <rFont val="Arial"/>
        <family val="2"/>
      </rPr>
      <t xml:space="preserve"> (Rambur, 1838)</t>
    </r>
  </si>
  <si>
    <t xml:space="preserve">Nombre común actual: Chicharra de Sierra Nevada, Chicharra de montaña </t>
  </si>
  <si>
    <t>Buprestis splendens</t>
  </si>
  <si>
    <r>
      <rPr>
        <i/>
        <sz val="10"/>
        <color theme="1"/>
        <rFont val="Arial"/>
        <family val="2"/>
      </rPr>
      <t>Buprestis splendens</t>
    </r>
    <r>
      <rPr>
        <sz val="10"/>
        <color theme="1"/>
        <rFont val="Arial"/>
        <family val="2"/>
      </rPr>
      <t xml:space="preserve"> Fabricius, 1775</t>
    </r>
  </si>
  <si>
    <t>Callogorgia verticillata</t>
  </si>
  <si>
    <r>
      <rPr>
        <i/>
        <sz val="10"/>
        <rFont val="Arial"/>
        <family val="2"/>
      </rPr>
      <t>Callogorgia verticillata</t>
    </r>
    <r>
      <rPr>
        <sz val="10"/>
        <rFont val="Arial"/>
        <family val="2"/>
      </rPr>
      <t xml:space="preserve"> (Pallas, 1766)</t>
    </r>
  </si>
  <si>
    <t>Gorgonia abanico</t>
  </si>
  <si>
    <t>Candelacypris aragonica</t>
  </si>
  <si>
    <r>
      <t xml:space="preserve">Candelacypris aragonica </t>
    </r>
    <r>
      <rPr>
        <sz val="10"/>
        <color theme="1"/>
        <rFont val="Arial"/>
        <family val="2"/>
      </rPr>
      <t>(Brehm &amp; Margalef, 1948)</t>
    </r>
  </si>
  <si>
    <t>Carabus (Mesocarabus) riffensis</t>
  </si>
  <si>
    <r>
      <t xml:space="preserve">Carabus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Messocarabus</t>
    </r>
    <r>
      <rPr>
        <sz val="10"/>
        <color theme="1"/>
        <rFont val="Arial"/>
        <family val="2"/>
      </rPr>
      <t>)</t>
    </r>
    <r>
      <rPr>
        <i/>
        <sz val="10"/>
        <color theme="1"/>
        <rFont val="Arial"/>
        <family val="2"/>
      </rPr>
      <t xml:space="preserve"> riffensis </t>
    </r>
    <r>
      <rPr>
        <sz val="10"/>
        <color theme="1"/>
        <rFont val="Arial"/>
        <family val="2"/>
      </rPr>
      <t>Fairmaire, 1872</t>
    </r>
  </si>
  <si>
    <r>
      <rPr>
        <i/>
        <sz val="10"/>
        <color theme="1"/>
        <rFont val="Arial"/>
        <family val="2"/>
      </rPr>
      <t>Centrostephanus longispinus</t>
    </r>
    <r>
      <rPr>
        <sz val="10"/>
        <color theme="1"/>
        <rFont val="Arial"/>
        <family val="2"/>
      </rPr>
      <t xml:space="preserve"> (Philippi, 1845)</t>
    </r>
  </si>
  <si>
    <t xml:space="preserve">Nombre común actual: Erizo diadema mediterráneo, Puercoespín marino </t>
  </si>
  <si>
    <r>
      <rPr>
        <i/>
        <sz val="10"/>
        <color theme="1"/>
        <rFont val="Arial"/>
        <family val="2"/>
      </rPr>
      <t>Cerambyx cerdo</t>
    </r>
    <r>
      <rPr>
        <sz val="10"/>
        <color theme="1"/>
        <rFont val="Arial"/>
        <family val="2"/>
      </rPr>
      <t xml:space="preserve"> Linnaeus, 1758</t>
    </r>
  </si>
  <si>
    <t>Nombre común actual: Gran Capricornio, Capricornio mayor</t>
  </si>
  <si>
    <t>Charonia lampas lampas</t>
  </si>
  <si>
    <r>
      <rPr>
        <i/>
        <sz val="10"/>
        <color theme="1"/>
        <rFont val="Arial"/>
        <family val="2"/>
      </rPr>
      <t>Charonia lampas</t>
    </r>
    <r>
      <rPr>
        <sz val="10"/>
        <color theme="1"/>
        <rFont val="Arial"/>
        <family val="2"/>
      </rPr>
      <t xml:space="preserve"> (Linnaeus, 1758)</t>
    </r>
  </si>
  <si>
    <t>Charonia tritonis variegata</t>
  </si>
  <si>
    <r>
      <rPr>
        <i/>
        <sz val="10"/>
        <color theme="1"/>
        <rFont val="Arial"/>
        <family val="2"/>
      </rPr>
      <t>Charonia variegata</t>
    </r>
    <r>
      <rPr>
        <sz val="10"/>
        <color theme="1"/>
        <rFont val="Arial"/>
        <family val="2"/>
      </rPr>
      <t xml:space="preserve"> (Lamarck, 1816)</t>
    </r>
  </si>
  <si>
    <t>Chasmatopterus zonatus</t>
  </si>
  <si>
    <r>
      <t xml:space="preserve">Chasmatopterus zonatus </t>
    </r>
    <r>
      <rPr>
        <sz val="10"/>
        <color theme="1"/>
        <rFont val="Arial"/>
        <family val="2"/>
      </rPr>
      <t>Escalera, 1925</t>
    </r>
  </si>
  <si>
    <t>Cladocora caespitosa</t>
  </si>
  <si>
    <r>
      <rPr>
        <i/>
        <sz val="10"/>
        <rFont val="Arial"/>
        <family val="2"/>
      </rPr>
      <t>Cladocora caespitosa</t>
    </r>
    <r>
      <rPr>
        <sz val="10"/>
        <rFont val="Arial"/>
        <family val="2"/>
      </rPr>
      <t xml:space="preserve"> (Linnaeus, 1767)</t>
    </r>
  </si>
  <si>
    <t>Madrépora mediterránea</t>
  </si>
  <si>
    <t>Cladocora debilis</t>
  </si>
  <si>
    <r>
      <rPr>
        <i/>
        <sz val="10"/>
        <rFont val="Arial"/>
        <family val="2"/>
      </rPr>
      <t>Cladocora debilis</t>
    </r>
    <r>
      <rPr>
        <sz val="10"/>
        <rFont val="Arial"/>
        <family val="2"/>
      </rPr>
      <t xml:space="preserve"> Milne Edwards &amp; Haime, 1849</t>
    </r>
  </si>
  <si>
    <t>Coralito débil</t>
  </si>
  <si>
    <t>Dendrophyllia cornigera (Lamarck, 1816)</t>
  </si>
  <si>
    <r>
      <t xml:space="preserve">Dendrophyllia cornigera </t>
    </r>
    <r>
      <rPr>
        <sz val="10"/>
        <rFont val="Arial"/>
        <family val="2"/>
      </rPr>
      <t>(Lamarck, 1816)</t>
    </r>
  </si>
  <si>
    <t>Coral amarillo</t>
  </si>
  <si>
    <t>Dendrophyllia ramea(Linnaeus, 1758)</t>
  </si>
  <si>
    <r>
      <t>Dendrophyllia ramea</t>
    </r>
    <r>
      <rPr>
        <sz val="10"/>
        <rFont val="Arial"/>
        <family val="2"/>
      </rPr>
      <t>(Linnaeus, 1758)</t>
    </r>
  </si>
  <si>
    <t>Coral naranja, Coral árbol</t>
  </si>
  <si>
    <t>Desmophyllum dianthus (Esper, 1794)</t>
  </si>
  <si>
    <r>
      <t xml:space="preserve">Desmophyllum dianthus </t>
    </r>
    <r>
      <rPr>
        <sz val="10"/>
        <rFont val="Arial"/>
        <family val="2"/>
      </rPr>
      <t>(Esper, 1794)</t>
    </r>
  </si>
  <si>
    <t>Coral cresta de gallo</t>
  </si>
  <si>
    <t>Ellisella paraplexauroides</t>
  </si>
  <si>
    <r>
      <rPr>
        <i/>
        <sz val="10"/>
        <rFont val="Arial"/>
        <family val="2"/>
      </rPr>
      <t xml:space="preserve">Ellisella paraplexauroides </t>
    </r>
    <r>
      <rPr>
        <sz val="10"/>
        <rFont val="Arial"/>
        <family val="2"/>
      </rPr>
      <t>Stiasny, 1936</t>
    </r>
  </si>
  <si>
    <t>Gorgonia candelabro</t>
  </si>
  <si>
    <r>
      <rPr>
        <i/>
        <sz val="10"/>
        <color theme="1"/>
        <rFont val="Arial"/>
        <family val="2"/>
      </rPr>
      <t>Naria spurca</t>
    </r>
    <r>
      <rPr>
        <sz val="10"/>
        <color theme="1"/>
        <rFont val="Arial"/>
        <family val="2"/>
      </rPr>
      <t xml:space="preserve"> (Linnaeus, 1758)</t>
    </r>
  </si>
  <si>
    <t>Euchloe bazae</t>
  </si>
  <si>
    <r>
      <rPr>
        <i/>
        <sz val="10"/>
        <rFont val="Arial"/>
        <family val="2"/>
      </rPr>
      <t>Euchloe bazae</t>
    </r>
    <r>
      <rPr>
        <sz val="10"/>
        <rFont val="Arial"/>
        <family val="2"/>
      </rPr>
      <t xml:space="preserve"> Fabiano, 1993</t>
    </r>
  </si>
  <si>
    <t>Azufrada ibérca, Blanquiverdosa azufrada</t>
  </si>
  <si>
    <t>Geomalacus maculosus</t>
  </si>
  <si>
    <r>
      <rPr>
        <i/>
        <sz val="10"/>
        <rFont val="Arial"/>
        <family val="2"/>
      </rPr>
      <t>Geomalacus maculosus</t>
    </r>
    <r>
      <rPr>
        <sz val="10"/>
        <rFont val="Arial"/>
        <family val="2"/>
      </rPr>
      <t xml:space="preserve"> Allman, 1843</t>
    </r>
  </si>
  <si>
    <r>
      <rPr>
        <i/>
        <sz val="10"/>
        <rFont val="Arial"/>
        <family val="2"/>
      </rPr>
      <t xml:space="preserve">Gomphus graslinii </t>
    </r>
    <r>
      <rPr>
        <sz val="10"/>
        <rFont val="Arial"/>
        <family val="2"/>
      </rPr>
      <t>Rambur, 1842</t>
    </r>
  </si>
  <si>
    <r>
      <rPr>
        <i/>
        <sz val="10"/>
        <rFont val="Arial"/>
        <family val="2"/>
      </rPr>
      <t>Actias isabelae</t>
    </r>
    <r>
      <rPr>
        <sz val="10"/>
        <rFont val="Arial"/>
        <family val="2"/>
      </rPr>
      <t xml:space="preserve"> (Graells, 1849)</t>
    </r>
  </si>
  <si>
    <t>Nombre común actual: Isabelina, Graelsia</t>
  </si>
  <si>
    <t>Halophiloscia canariensis</t>
  </si>
  <si>
    <r>
      <rPr>
        <i/>
        <sz val="10"/>
        <rFont val="Arial"/>
        <family val="2"/>
      </rPr>
      <t>Halophiloscia canariensis</t>
    </r>
    <r>
      <rPr>
        <sz val="10"/>
        <rFont val="Arial"/>
        <family val="2"/>
      </rPr>
      <t xml:space="preserve"> Dalens, 1973</t>
    </r>
  </si>
  <si>
    <t>Cochinilla de los Jameos</t>
  </si>
  <si>
    <t>DESCATALOGADO</t>
  </si>
  <si>
    <t>Hornera lichenoides</t>
  </si>
  <si>
    <r>
      <rPr>
        <i/>
        <sz val="10"/>
        <rFont val="Arial"/>
        <family val="2"/>
      </rPr>
      <t>Hornera lichenoides</t>
    </r>
    <r>
      <rPr>
        <sz val="10"/>
        <rFont val="Arial"/>
        <family val="2"/>
      </rPr>
      <t xml:space="preserve"> (Linnaeus, 1758)</t>
    </r>
  </si>
  <si>
    <t>Hyles hippophaes</t>
  </si>
  <si>
    <r>
      <t xml:space="preserve">Hyles hippophaes </t>
    </r>
    <r>
      <rPr>
        <sz val="10"/>
        <rFont val="Arial"/>
        <family val="2"/>
      </rPr>
      <t>(Esper, 1793)</t>
    </r>
  </si>
  <si>
    <t>Isidella elongata (Esper, 1794)</t>
  </si>
  <si>
    <r>
      <t xml:space="preserve">Isidella elongata </t>
    </r>
    <r>
      <rPr>
        <sz val="10"/>
        <rFont val="Arial"/>
        <family val="2"/>
      </rPr>
      <t>(Esper, 1794)</t>
    </r>
  </si>
  <si>
    <t>Coral bambú, Gorgonia articulada</t>
  </si>
  <si>
    <t>Leiopathes glaberrima</t>
  </si>
  <si>
    <r>
      <rPr>
        <i/>
        <sz val="10"/>
        <rFont val="Arial"/>
        <family val="2"/>
      </rPr>
      <t>Leiopathes glaberrima</t>
    </r>
    <r>
      <rPr>
        <sz val="10"/>
        <rFont val="Arial"/>
        <family val="2"/>
      </rPr>
      <t xml:space="preserve"> (Esper, 1792)</t>
    </r>
  </si>
  <si>
    <t>Coral negro anaranjado</t>
  </si>
  <si>
    <t>Leucorrhinia pectoralis</t>
  </si>
  <si>
    <r>
      <rPr>
        <i/>
        <sz val="10"/>
        <rFont val="Arial"/>
        <family val="2"/>
      </rPr>
      <t>Leucorrhinia pectoralis</t>
    </r>
    <r>
      <rPr>
        <sz val="10"/>
        <rFont val="Arial"/>
        <family val="2"/>
      </rPr>
      <t xml:space="preserve"> (Charpentier, 1825)</t>
    </r>
  </si>
  <si>
    <t>Limoniscus violaceus</t>
  </si>
  <si>
    <r>
      <rPr>
        <i/>
        <sz val="10"/>
        <rFont val="Arial"/>
        <family val="2"/>
      </rPr>
      <t>Limoniscus violaceus</t>
    </r>
    <r>
      <rPr>
        <sz val="10"/>
        <rFont val="Arial"/>
        <family val="2"/>
      </rPr>
      <t xml:space="preserve"> (Müller, 1821)</t>
    </r>
  </si>
  <si>
    <t>Escarabajo resorte</t>
  </si>
  <si>
    <t>Lindenia tetraphylla</t>
  </si>
  <si>
    <r>
      <rPr>
        <i/>
        <sz val="10"/>
        <rFont val="Arial"/>
        <family val="2"/>
      </rPr>
      <t>Lindenia tetraphylla</t>
    </r>
    <r>
      <rPr>
        <sz val="10"/>
        <rFont val="Arial"/>
        <family val="2"/>
      </rPr>
      <t xml:space="preserve"> (Vander Linden, 1825)</t>
    </r>
  </si>
  <si>
    <t>Linderiella baetica Alonso y García-de-Lomas, 2009</t>
  </si>
  <si>
    <r>
      <rPr>
        <i/>
        <sz val="10"/>
        <rFont val="Arial"/>
        <family val="2"/>
      </rPr>
      <t>Linderiella baetica</t>
    </r>
    <r>
      <rPr>
        <sz val="10"/>
        <rFont val="Arial"/>
        <family val="2"/>
      </rPr>
      <t xml:space="preserve"> Alonso y García-de-Lomas, 2009</t>
    </r>
  </si>
  <si>
    <t>Gambilusa</t>
  </si>
  <si>
    <r>
      <t xml:space="preserve">Lithophaga lithophaga </t>
    </r>
    <r>
      <rPr>
        <sz val="10"/>
        <rFont val="Arial"/>
        <family val="2"/>
      </rPr>
      <t>(Linnaeus, 1758)</t>
    </r>
  </si>
  <si>
    <t>Lophelia pertusa</t>
  </si>
  <si>
    <r>
      <rPr>
        <i/>
        <sz val="10"/>
        <rFont val="Arial"/>
        <family val="2"/>
      </rPr>
      <t>Desmophyllum pertusum</t>
    </r>
    <r>
      <rPr>
        <sz val="10"/>
        <rFont val="Arial"/>
        <family val="2"/>
      </rPr>
      <t xml:space="preserve"> (Linnaeus, 1758)</t>
    </r>
  </si>
  <si>
    <t>Coral blanco duro</t>
  </si>
  <si>
    <r>
      <rPr>
        <i/>
        <sz val="10"/>
        <color theme="1"/>
        <rFont val="Arial"/>
        <family val="2"/>
      </rPr>
      <t>Luria lurida</t>
    </r>
    <r>
      <rPr>
        <sz val="10"/>
        <color theme="1"/>
        <rFont val="Arial"/>
        <family val="2"/>
      </rPr>
      <t xml:space="preserve"> (Linnaeus, 1758)</t>
    </r>
  </si>
  <si>
    <t>Lycaena helle</t>
  </si>
  <si>
    <r>
      <rPr>
        <i/>
        <sz val="10"/>
        <color theme="1"/>
        <rFont val="Arial"/>
        <family val="2"/>
      </rPr>
      <t>Lycaena helle</t>
    </r>
    <r>
      <rPr>
        <sz val="10"/>
        <color theme="1"/>
        <rFont val="Arial"/>
        <family val="2"/>
      </rPr>
      <t xml:space="preserve"> ([Denis &amp; Schiffermüller], 1775)</t>
    </r>
  </si>
  <si>
    <t>Manto violeta</t>
  </si>
  <si>
    <r>
      <rPr>
        <i/>
        <sz val="10"/>
        <rFont val="Arial"/>
        <family val="2"/>
      </rPr>
      <t>Macromia splendens</t>
    </r>
    <r>
      <rPr>
        <sz val="10"/>
        <rFont val="Arial"/>
        <family val="2"/>
      </rPr>
      <t xml:space="preserve"> (Pictet, 1843)</t>
    </r>
  </si>
  <si>
    <r>
      <rPr>
        <i/>
        <sz val="10"/>
        <color theme="1"/>
        <rFont val="Arial"/>
        <family val="2"/>
      </rPr>
      <t>Macrothele calpeiana</t>
    </r>
    <r>
      <rPr>
        <sz val="10"/>
        <color theme="1"/>
        <rFont val="Arial"/>
        <family val="2"/>
      </rPr>
      <t xml:space="preserve"> (Walckenaer, 1805)</t>
    </r>
  </si>
  <si>
    <t>Maculinea arion</t>
  </si>
  <si>
    <r>
      <rPr>
        <i/>
        <sz val="10"/>
        <rFont val="Arial"/>
        <family val="2"/>
      </rPr>
      <t>Phengaris arion</t>
    </r>
    <r>
      <rPr>
        <sz val="10"/>
        <rFont val="Arial"/>
        <family val="2"/>
      </rPr>
      <t xml:space="preserve"> (Linnaeus, 1758)</t>
    </r>
  </si>
  <si>
    <t>Maculinea nausithous</t>
  </si>
  <si>
    <r>
      <rPr>
        <i/>
        <sz val="10"/>
        <rFont val="Arial"/>
        <family val="2"/>
      </rPr>
      <t>Phengaris nausithous</t>
    </r>
    <r>
      <rPr>
        <sz val="10"/>
        <rFont val="Arial"/>
        <family val="2"/>
      </rPr>
      <t xml:space="preserve"> (Bergsträsser, 1779)</t>
    </r>
  </si>
  <si>
    <t>Hormiguera oscura</t>
  </si>
  <si>
    <t>Madrepora oculata</t>
  </si>
  <si>
    <r>
      <rPr>
        <i/>
        <sz val="10"/>
        <rFont val="Arial"/>
        <family val="2"/>
      </rPr>
      <t>Madrepora oculata</t>
    </r>
    <r>
      <rPr>
        <sz val="10"/>
        <rFont val="Arial"/>
        <family val="2"/>
      </rPr>
      <t xml:space="preserve"> Linnaeus, 1758</t>
    </r>
  </si>
  <si>
    <t xml:space="preserve">Coral blando frágil </t>
  </si>
  <si>
    <t>Maiorerus randoi</t>
  </si>
  <si>
    <r>
      <rPr>
        <i/>
        <sz val="10"/>
        <color theme="1"/>
        <rFont val="Arial"/>
        <family val="2"/>
      </rPr>
      <t>Maiorerus randoi</t>
    </r>
    <r>
      <rPr>
        <sz val="10"/>
        <color theme="1"/>
        <rFont val="Arial"/>
        <family val="2"/>
      </rPr>
      <t xml:space="preserve"> Rambla, 1993</t>
    </r>
  </si>
  <si>
    <t>Opilión cavernícola majorero</t>
  </si>
  <si>
    <t>Margaritifera auricularia</t>
  </si>
  <si>
    <r>
      <t>Margaritifera auricularia</t>
    </r>
    <r>
      <rPr>
        <sz val="10"/>
        <color theme="1"/>
        <rFont val="Arial"/>
        <family val="2"/>
      </rPr>
      <t xml:space="preserve"> (Spengler, 1793) </t>
    </r>
    <r>
      <rPr>
        <sz val="10"/>
        <color rgb="FFFF0000"/>
        <rFont val="Arial"/>
        <family val="2"/>
      </rPr>
      <t/>
    </r>
  </si>
  <si>
    <t>Margaritona</t>
  </si>
  <si>
    <t>Margaritifera margaritifera</t>
  </si>
  <si>
    <r>
      <rPr>
        <i/>
        <sz val="10"/>
        <color theme="1"/>
        <rFont val="Arial"/>
        <family val="2"/>
      </rPr>
      <t>Margaritifera margaritifera</t>
    </r>
    <r>
      <rPr>
        <sz val="10"/>
        <color theme="1"/>
        <rFont val="Arial"/>
        <family val="2"/>
      </rPr>
      <t xml:space="preserve"> (Linnaeus, 1758)</t>
    </r>
  </si>
  <si>
    <t>Náyade de río, Madreperla de río</t>
  </si>
  <si>
    <t xml:space="preserve">
Nombre común anterior: Mejillón de río (Real Decreto 139/2011)</t>
  </si>
  <si>
    <t>Monilearia arguineguinensis (Seddon &amp; Aparicio 1998)</t>
  </si>
  <si>
    <r>
      <t xml:space="preserve">Monilearia arguineguinensis </t>
    </r>
    <r>
      <rPr>
        <sz val="10"/>
        <color theme="1"/>
        <rFont val="Arial"/>
        <family val="2"/>
      </rPr>
      <t>(Seddon &amp; Aparicio 1998)</t>
    </r>
  </si>
  <si>
    <t>Caracol chato de Arguineguín</t>
  </si>
  <si>
    <t>Munidopsis polymorpha</t>
  </si>
  <si>
    <r>
      <rPr>
        <i/>
        <sz val="10"/>
        <color theme="1"/>
        <rFont val="Arial"/>
        <family val="2"/>
      </rPr>
      <t>Munidopsis polymorpha</t>
    </r>
    <r>
      <rPr>
        <sz val="10"/>
        <color theme="1"/>
        <rFont val="Arial"/>
        <family val="2"/>
      </rPr>
      <t xml:space="preserve"> Koelbel, 1892</t>
    </r>
  </si>
  <si>
    <t>Jameíto</t>
  </si>
  <si>
    <t>Nucella lapillus</t>
  </si>
  <si>
    <r>
      <rPr>
        <i/>
        <sz val="10"/>
        <color theme="1"/>
        <rFont val="Arial"/>
        <family val="2"/>
      </rPr>
      <t>Nucella lapillus</t>
    </r>
    <r>
      <rPr>
        <sz val="10"/>
        <color theme="1"/>
        <rFont val="Arial"/>
        <family val="2"/>
      </rPr>
      <t xml:space="preserve"> (Linnaeus, 1758)</t>
    </r>
  </si>
  <si>
    <r>
      <rPr>
        <i/>
        <sz val="10"/>
        <color theme="1"/>
        <rFont val="Arial"/>
        <family val="2"/>
      </rPr>
      <t>Ophidiaster ophidianus</t>
    </r>
    <r>
      <rPr>
        <sz val="10"/>
        <color theme="1"/>
        <rFont val="Arial"/>
        <family val="2"/>
      </rPr>
      <t xml:space="preserve"> (Lamarck, 1816)</t>
    </r>
  </si>
  <si>
    <t>Osmoderma eremita</t>
  </si>
  <si>
    <r>
      <rPr>
        <i/>
        <sz val="10"/>
        <color theme="1"/>
        <rFont val="Arial"/>
        <family val="2"/>
      </rPr>
      <t>Osmoderma eremita</t>
    </r>
    <r>
      <rPr>
        <sz val="10"/>
        <color theme="1"/>
        <rFont val="Arial"/>
        <family val="2"/>
      </rPr>
      <t xml:space="preserve"> (Scopoli, 1763)</t>
    </r>
  </si>
  <si>
    <r>
      <rPr>
        <i/>
        <sz val="10"/>
        <rFont val="Arial"/>
        <family val="2"/>
      </rPr>
      <t>Oxygastra curtisii</t>
    </r>
    <r>
      <rPr>
        <sz val="10"/>
        <rFont val="Arial"/>
        <family val="2"/>
      </rPr>
      <t xml:space="preserve"> (Dale, 1834)</t>
    </r>
  </si>
  <si>
    <t>Panulirus echinatus</t>
  </si>
  <si>
    <r>
      <rPr>
        <i/>
        <sz val="10"/>
        <rFont val="Arial"/>
        <family val="2"/>
      </rPr>
      <t>Panulirus echinatus</t>
    </r>
    <r>
      <rPr>
        <sz val="10"/>
        <rFont val="Arial"/>
        <family val="2"/>
      </rPr>
      <t xml:space="preserve"> Smith, 1869</t>
    </r>
  </si>
  <si>
    <t>Langosta herreña</t>
  </si>
  <si>
    <t>Parantipathes larix</t>
  </si>
  <si>
    <r>
      <rPr>
        <i/>
        <sz val="10"/>
        <rFont val="Arial"/>
        <family val="2"/>
      </rPr>
      <t>Parantipathes larix</t>
    </r>
    <r>
      <rPr>
        <sz val="10"/>
        <rFont val="Arial"/>
        <family val="2"/>
      </rPr>
      <t xml:space="preserve"> (Esper, 1790)</t>
    </r>
  </si>
  <si>
    <t>Coral negro mediterráneo</t>
  </si>
  <si>
    <t>Patella candei candei</t>
  </si>
  <si>
    <r>
      <rPr>
        <i/>
        <sz val="10"/>
        <rFont val="Arial"/>
        <family val="2"/>
      </rPr>
      <t>Patella candei candei</t>
    </r>
    <r>
      <rPr>
        <sz val="10"/>
        <rFont val="Arial"/>
        <family val="2"/>
      </rPr>
      <t xml:space="preserve"> D' Orbigny, 1840</t>
    </r>
  </si>
  <si>
    <t>Lapa majorera</t>
  </si>
  <si>
    <t>Patella ferruginea</t>
  </si>
  <si>
    <r>
      <rPr>
        <i/>
        <sz val="10"/>
        <rFont val="Arial"/>
        <family val="2"/>
      </rPr>
      <t>Patella ferruginea</t>
    </r>
    <r>
      <rPr>
        <sz val="10"/>
        <rFont val="Arial"/>
        <family val="2"/>
      </rPr>
      <t xml:space="preserve"> Gmelin, 1791</t>
    </r>
  </si>
  <si>
    <t>Patella ulyssiponensis aspera</t>
  </si>
  <si>
    <r>
      <rPr>
        <i/>
        <sz val="10"/>
        <rFont val="Arial"/>
        <family val="2"/>
      </rPr>
      <t>Patella aspera</t>
    </r>
    <r>
      <rPr>
        <sz val="10"/>
        <rFont val="Arial"/>
        <family val="2"/>
      </rPr>
      <t xml:space="preserve"> Röding, 1798</t>
    </r>
  </si>
  <si>
    <r>
      <rPr>
        <i/>
        <sz val="10"/>
        <rFont val="Arial"/>
        <family val="2"/>
      </rPr>
      <t>Pholas dactylus</t>
    </r>
    <r>
      <rPr>
        <sz val="10"/>
        <rFont val="Arial"/>
        <family val="2"/>
      </rPr>
      <t xml:space="preserve"> Linnaeus, 1758</t>
    </r>
  </si>
  <si>
    <t>Pimelia granulicollis</t>
  </si>
  <si>
    <r>
      <rPr>
        <i/>
        <sz val="10"/>
        <rFont val="Arial"/>
        <family val="2"/>
      </rPr>
      <t>Pimelia granulicollis</t>
    </r>
    <r>
      <rPr>
        <sz val="10"/>
        <rFont val="Arial"/>
        <family val="2"/>
      </rPr>
      <t xml:space="preserve"> Wollaston, 1864</t>
    </r>
  </si>
  <si>
    <t>Pimelia de las arenas</t>
  </si>
  <si>
    <r>
      <rPr>
        <i/>
        <sz val="10"/>
        <rFont val="Arial"/>
        <family val="2"/>
      </rPr>
      <t>Pinna nobilis</t>
    </r>
    <r>
      <rPr>
        <sz val="10"/>
        <rFont val="Arial"/>
        <family val="2"/>
      </rPr>
      <t xml:space="preserve"> Linnaeus, 1758</t>
    </r>
  </si>
  <si>
    <t>Nacra común</t>
  </si>
  <si>
    <r>
      <rPr>
        <i/>
        <sz val="10"/>
        <rFont val="Arial"/>
        <family val="2"/>
      </rPr>
      <t>Pinna rudis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</si>
  <si>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Polyommatus golgus</t>
    </r>
    <r>
      <rPr>
        <sz val="10"/>
        <rFont val="Arial"/>
        <family val="2"/>
      </rPr>
      <t xml:space="preserve"> (Hübner, 1813)</t>
    </r>
  </si>
  <si>
    <r>
      <rPr>
        <i/>
        <sz val="10"/>
        <rFont val="Arial"/>
        <family val="2"/>
      </rPr>
      <t>Proserpinus proserpina</t>
    </r>
    <r>
      <rPr>
        <sz val="10"/>
        <rFont val="Arial"/>
        <family val="2"/>
      </rPr>
      <t xml:space="preserve"> (Pallas, 1772)</t>
    </r>
  </si>
  <si>
    <t>Pyrgus cinarae (Rambur 1839)</t>
  </si>
  <si>
    <r>
      <t xml:space="preserve">Pyrgus cinarae </t>
    </r>
    <r>
      <rPr>
        <sz val="10"/>
        <rFont val="Arial"/>
        <family val="2"/>
      </rPr>
      <t>(Rambur 1839)</t>
    </r>
  </si>
  <si>
    <t>Ajedrezada haltera</t>
  </si>
  <si>
    <t>Pyrgus sidae (Esper, 1784)</t>
  </si>
  <si>
    <r>
      <t xml:space="preserve">Pyrgus sidae </t>
    </r>
    <r>
      <rPr>
        <sz val="10"/>
        <rFont val="Arial"/>
        <family val="2"/>
      </rPr>
      <t>(Esper, 1784)</t>
    </r>
  </si>
  <si>
    <t>Ajedrezada amarilla</t>
  </si>
  <si>
    <t>Ranella olearia</t>
  </si>
  <si>
    <r>
      <rPr>
        <i/>
        <sz val="10"/>
        <rFont val="Arial"/>
        <family val="2"/>
      </rPr>
      <t>Ranella olearium</t>
    </r>
    <r>
      <rPr>
        <sz val="10"/>
        <rFont val="Arial"/>
        <family val="2"/>
      </rPr>
      <t xml:space="preserve"> (Linnaeus, 1758)</t>
    </r>
  </si>
  <si>
    <t>Rosalia alpina</t>
  </si>
  <si>
    <r>
      <rPr>
        <i/>
        <sz val="10"/>
        <rFont val="Arial"/>
        <family val="2"/>
      </rPr>
      <t>Rosalia alpina</t>
    </r>
    <r>
      <rPr>
        <sz val="10"/>
        <rFont val="Arial"/>
        <family val="2"/>
      </rPr>
      <t xml:space="preserve"> (Linnaeus, 1758)</t>
    </r>
  </si>
  <si>
    <t>Saga pedo</t>
  </si>
  <si>
    <r>
      <rPr>
        <i/>
        <sz val="10"/>
        <rFont val="Arial"/>
        <family val="2"/>
      </rPr>
      <t>Saga pedo</t>
    </r>
    <r>
      <rPr>
        <sz val="10"/>
        <rFont val="Arial"/>
        <family val="2"/>
      </rPr>
      <t xml:space="preserve"> (Pallas, 1771)</t>
    </r>
  </si>
  <si>
    <t>Sarcotragus foetidus</t>
  </si>
  <si>
    <r>
      <rPr>
        <i/>
        <sz val="10"/>
        <rFont val="Arial"/>
        <family val="2"/>
      </rPr>
      <t>Sarcotragus foetidus</t>
    </r>
    <r>
      <rPr>
        <sz val="10"/>
        <rFont val="Arial"/>
        <family val="2"/>
      </rPr>
      <t xml:space="preserve"> Schmidt, 1862</t>
    </r>
  </si>
  <si>
    <t>Esponja negra</t>
  </si>
  <si>
    <r>
      <rPr>
        <i/>
        <sz val="10"/>
        <rFont val="Arial"/>
        <family val="2"/>
      </rPr>
      <t>Sarcotragus pipetta</t>
    </r>
    <r>
      <rPr>
        <sz val="10"/>
        <rFont val="Arial"/>
        <family val="2"/>
      </rPr>
      <t xml:space="preserve"> (Schmidt, 1868)</t>
    </r>
  </si>
  <si>
    <r>
      <rPr>
        <i/>
        <sz val="10"/>
        <rFont val="Arial"/>
        <family val="2"/>
      </rPr>
      <t>Savalia savaglia</t>
    </r>
    <r>
      <rPr>
        <sz val="10"/>
        <rFont val="Arial"/>
        <family val="2"/>
      </rPr>
      <t xml:space="preserve"> (Bertoloni, 1819)</t>
    </r>
  </si>
  <si>
    <r>
      <rPr>
        <i/>
        <sz val="10"/>
        <rFont val="Arial"/>
        <family val="2"/>
      </rPr>
      <t>Schilderia achatidea</t>
    </r>
    <r>
      <rPr>
        <sz val="10"/>
        <rFont val="Arial"/>
        <family val="2"/>
      </rPr>
      <t xml:space="preserve"> (Gray in G. B. Sowerby I, 1837)</t>
    </r>
  </si>
  <si>
    <t>Speleonectes ondinae</t>
  </si>
  <si>
    <r>
      <rPr>
        <i/>
        <sz val="10"/>
        <color theme="1"/>
        <rFont val="Arial"/>
        <family val="2"/>
      </rPr>
      <t>Morlockia ondinae</t>
    </r>
    <r>
      <rPr>
        <sz val="10"/>
        <color theme="1"/>
        <rFont val="Arial"/>
        <family val="2"/>
      </rPr>
      <t xml:space="preserve"> García-Valdecasas, 1984</t>
    </r>
  </si>
  <si>
    <t>Remípedo de los jameos</t>
  </si>
  <si>
    <t>(4) Tethya sp.</t>
  </si>
  <si>
    <r>
      <t xml:space="preserve">Tethya </t>
    </r>
    <r>
      <rPr>
        <sz val="10"/>
        <color theme="1"/>
        <rFont val="Arial"/>
        <family val="2"/>
      </rPr>
      <t>Lamarck, 1815</t>
    </r>
  </si>
  <si>
    <t>Theodoxus velascoi</t>
  </si>
  <si>
    <r>
      <rPr>
        <i/>
        <sz val="10"/>
        <color theme="1"/>
        <rFont val="Arial"/>
        <family val="2"/>
      </rPr>
      <t>Theodoxus meridionalis</t>
    </r>
    <r>
      <rPr>
        <sz val="10"/>
        <color theme="1"/>
        <rFont val="Arial"/>
        <family val="2"/>
      </rPr>
      <t xml:space="preserve"> (Philippi, 1836)</t>
    </r>
  </si>
  <si>
    <t>DESCATALOGADA</t>
  </si>
  <si>
    <t>Tonna galea</t>
  </si>
  <si>
    <r>
      <rPr>
        <i/>
        <sz val="10"/>
        <rFont val="Arial"/>
        <family val="2"/>
      </rPr>
      <t>Tonna galea</t>
    </r>
    <r>
      <rPr>
        <sz val="10"/>
        <rFont val="Arial"/>
        <family val="2"/>
      </rPr>
      <t xml:space="preserve"> (Linnaeus, 1758)</t>
    </r>
  </si>
  <si>
    <t>Tonel</t>
  </si>
  <si>
    <t>Tritia tingitana</t>
  </si>
  <si>
    <r>
      <rPr>
        <i/>
        <sz val="10"/>
        <rFont val="Arial"/>
        <family val="2"/>
      </rPr>
      <t>Tritia tingitana</t>
    </r>
    <r>
      <rPr>
        <sz val="10"/>
        <rFont val="Arial"/>
        <family val="2"/>
      </rPr>
      <t xml:space="preserve"> (Pallary, 1901)</t>
    </r>
  </si>
  <si>
    <t xml:space="preserve">Caracolilla de Tánger 
</t>
  </si>
  <si>
    <t>Unio mancus</t>
  </si>
  <si>
    <r>
      <rPr>
        <i/>
        <sz val="10"/>
        <color theme="1"/>
        <rFont val="Arial"/>
        <family val="2"/>
      </rPr>
      <t>Unio mancus</t>
    </r>
    <r>
      <rPr>
        <sz val="10"/>
        <color theme="1"/>
        <rFont val="Arial"/>
        <family val="2"/>
      </rPr>
      <t xml:space="preserve"> Lamarck, 1819</t>
    </r>
  </si>
  <si>
    <t>Náyade mediterránea</t>
  </si>
  <si>
    <t>Unio ravoisieri (antes U. elongatulus)</t>
  </si>
  <si>
    <r>
      <rPr>
        <i/>
        <sz val="10"/>
        <color theme="1"/>
        <rFont val="Arial"/>
        <family val="2"/>
      </rPr>
      <t>Unio ravoisieri</t>
    </r>
    <r>
      <rPr>
        <sz val="10"/>
        <color theme="1"/>
        <rFont val="Arial"/>
        <family val="2"/>
      </rPr>
      <t xml:space="preserve"> Deshayes, 1847</t>
    </r>
  </si>
  <si>
    <t>Náyade del noroeste</t>
  </si>
  <si>
    <t>Vertigo angustior</t>
  </si>
  <si>
    <r>
      <rPr>
        <i/>
        <sz val="10"/>
        <rFont val="Arial"/>
        <family val="2"/>
      </rPr>
      <t>Vertigo angustior</t>
    </r>
    <r>
      <rPr>
        <sz val="10"/>
        <rFont val="Arial"/>
        <family val="2"/>
      </rPr>
      <t xml:space="preserve"> Jeffreys, 1830</t>
    </r>
  </si>
  <si>
    <t>Vertigo moulinsiana</t>
  </si>
  <si>
    <r>
      <rPr>
        <i/>
        <sz val="10"/>
        <rFont val="Arial"/>
        <family val="2"/>
      </rPr>
      <t>Vertigo moulinsiana</t>
    </r>
    <r>
      <rPr>
        <sz val="10"/>
        <rFont val="Arial"/>
        <family val="2"/>
      </rPr>
      <t xml:space="preserve"> (Dupuy, 1849)</t>
    </r>
  </si>
  <si>
    <r>
      <rPr>
        <i/>
        <sz val="10"/>
        <rFont val="Arial"/>
        <family val="2"/>
      </rPr>
      <t>Zonaria pyrum</t>
    </r>
    <r>
      <rPr>
        <sz val="10"/>
        <rFont val="Arial"/>
        <family val="2"/>
      </rPr>
      <t xml:space="preserve"> (Gmelin, 1791)</t>
    </r>
  </si>
  <si>
    <r>
      <rPr>
        <i/>
        <sz val="10"/>
        <rFont val="Arial"/>
        <family val="2"/>
      </rPr>
      <t>Barbastella barbastellus</t>
    </r>
    <r>
      <rPr>
        <sz val="10"/>
        <rFont val="Arial"/>
        <family val="2"/>
      </rPr>
      <t xml:space="preserve"> (Schreber, 1774)</t>
    </r>
  </si>
  <si>
    <t>Murciélago de bosque, Barbastela</t>
  </si>
  <si>
    <r>
      <rPr>
        <i/>
        <sz val="10"/>
        <rFont val="Arial"/>
        <family val="2"/>
      </rPr>
      <t>Kogia breviceps</t>
    </r>
    <r>
      <rPr>
        <sz val="10"/>
        <rFont val="Arial"/>
        <family val="2"/>
      </rPr>
      <t xml:space="preserve"> (Blainville, 1838)</t>
    </r>
  </si>
  <si>
    <r>
      <rPr>
        <i/>
        <sz val="10"/>
        <rFont val="Arial"/>
        <family val="2"/>
      </rPr>
      <t>Kogia sima</t>
    </r>
    <r>
      <rPr>
        <sz val="10"/>
        <rFont val="Arial"/>
        <family val="2"/>
      </rPr>
      <t xml:space="preserve"> (Owen, 1866)</t>
    </r>
  </si>
  <si>
    <t>Lagenodelphis hosei</t>
  </si>
  <si>
    <r>
      <rPr>
        <i/>
        <sz val="10"/>
        <rFont val="Arial"/>
        <family val="2"/>
      </rPr>
      <t xml:space="preserve">Lagenodelphis hosei </t>
    </r>
    <r>
      <rPr>
        <sz val="10"/>
        <rFont val="Arial"/>
        <family val="2"/>
      </rPr>
      <t>Fraser, 1956</t>
    </r>
  </si>
  <si>
    <t>Delfín de Fraser</t>
  </si>
  <si>
    <r>
      <rPr>
        <i/>
        <sz val="10"/>
        <rFont val="Arial"/>
        <family val="2"/>
      </rPr>
      <t>Lutra lutra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</si>
  <si>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Lynx pardinus</t>
    </r>
    <r>
      <rPr>
        <sz val="10"/>
        <rFont val="Arial"/>
        <family val="2"/>
      </rPr>
      <t xml:space="preserve"> (Temminck, 1827)</t>
    </r>
  </si>
  <si>
    <r>
      <rPr>
        <i/>
        <sz val="10"/>
        <rFont val="Arial"/>
        <family val="2"/>
      </rPr>
      <t>Megaptera novaeangliae</t>
    </r>
    <r>
      <rPr>
        <sz val="10"/>
        <rFont val="Arial"/>
        <family val="2"/>
      </rPr>
      <t xml:space="preserve"> (Borowski, 1781)</t>
    </r>
  </si>
  <si>
    <r>
      <rPr>
        <i/>
        <sz val="10"/>
        <rFont val="Arial"/>
        <family val="2"/>
      </rPr>
      <t>Mesoplodon densirostris</t>
    </r>
    <r>
      <rPr>
        <sz val="10"/>
        <rFont val="Arial"/>
        <family val="2"/>
      </rPr>
      <t xml:space="preserve"> (Blainville, 1817)</t>
    </r>
  </si>
  <si>
    <r>
      <rPr>
        <i/>
        <sz val="10"/>
        <rFont val="Arial"/>
        <family val="2"/>
      </rPr>
      <t>Mesoplodon europaeus</t>
    </r>
    <r>
      <rPr>
        <sz val="10"/>
        <rFont val="Arial"/>
        <family val="2"/>
      </rPr>
      <t xml:space="preserve"> (Gervais, 1855)</t>
    </r>
  </si>
  <si>
    <r>
      <rPr>
        <i/>
        <sz val="10"/>
        <rFont val="Arial"/>
        <family val="2"/>
      </rPr>
      <t>Mesoplodon mirus</t>
    </r>
    <r>
      <rPr>
        <sz val="10"/>
        <rFont val="Arial"/>
        <family val="2"/>
      </rPr>
      <t xml:space="preserve"> True, 1913</t>
    </r>
  </si>
  <si>
    <r>
      <rPr>
        <i/>
        <sz val="10"/>
        <rFont val="Arial"/>
        <family val="2"/>
      </rPr>
      <t>Myotis myotis</t>
    </r>
    <r>
      <rPr>
        <sz val="10"/>
        <rFont val="Arial"/>
        <family val="2"/>
      </rPr>
      <t xml:space="preserve"> (Borkhausen, 1797)</t>
    </r>
  </si>
  <si>
    <t>Atelerix algirus</t>
  </si>
  <si>
    <r>
      <rPr>
        <i/>
        <sz val="10"/>
        <rFont val="Arial"/>
        <family val="2"/>
      </rPr>
      <t>Atelerix algirus</t>
    </r>
    <r>
      <rPr>
        <sz val="10"/>
        <rFont val="Arial"/>
        <family val="2"/>
      </rPr>
      <t xml:space="preserve"> (Lereboullet, 1842)</t>
    </r>
  </si>
  <si>
    <r>
      <rPr>
        <i/>
        <sz val="10"/>
        <rFont val="Arial"/>
        <family val="2"/>
      </rPr>
      <t>Balaenoptera acutorostrata</t>
    </r>
    <r>
      <rPr>
        <sz val="10"/>
        <rFont val="Arial"/>
        <family val="2"/>
      </rPr>
      <t xml:space="preserve"> Lacépède, 1804</t>
    </r>
  </si>
  <si>
    <t>Balaenoptera borealis</t>
  </si>
  <si>
    <r>
      <rPr>
        <i/>
        <sz val="10"/>
        <rFont val="Arial"/>
        <family val="2"/>
      </rPr>
      <t>Balaenoptera borealis</t>
    </r>
    <r>
      <rPr>
        <sz val="10"/>
        <rFont val="Arial"/>
        <family val="2"/>
      </rPr>
      <t xml:space="preserve"> Lesson, 1828</t>
    </r>
  </si>
  <si>
    <t>Rorcual norteño</t>
  </si>
  <si>
    <t>Balaenoptera edeni/brydei</t>
  </si>
  <si>
    <r>
      <rPr>
        <i/>
        <sz val="10"/>
        <rFont val="Arial"/>
        <family val="2"/>
      </rPr>
      <t xml:space="preserve">Balaenoptera edeni </t>
    </r>
    <r>
      <rPr>
        <sz val="10"/>
        <rFont val="Arial"/>
        <family val="2"/>
      </rPr>
      <t>Anderson, 1879</t>
    </r>
  </si>
  <si>
    <t>Rorcual tropical</t>
  </si>
  <si>
    <r>
      <rPr>
        <i/>
        <sz val="10"/>
        <rFont val="Arial"/>
        <family val="2"/>
      </rPr>
      <t>Balaenoptera musculus</t>
    </r>
    <r>
      <rPr>
        <sz val="10"/>
        <rFont val="Arial"/>
        <family val="2"/>
      </rPr>
      <t xml:space="preserve"> (Linnaeus, 1758)</t>
    </r>
  </si>
  <si>
    <t>Balaenoptera physalus</t>
  </si>
  <si>
    <r>
      <rPr>
        <i/>
        <sz val="10"/>
        <rFont val="Arial"/>
        <family val="2"/>
      </rPr>
      <t>Balaenoptera physalus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</si>
  <si>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Canis lupus</t>
    </r>
    <r>
      <rPr>
        <sz val="10"/>
        <rFont val="Arial"/>
        <family val="2"/>
      </rPr>
      <t xml:space="preserve"> Linnaeus, 1758</t>
    </r>
  </si>
  <si>
    <t>Sur del Duero</t>
  </si>
  <si>
    <t>Ley 1/2025, de 1 de abril</t>
  </si>
  <si>
    <t xml:space="preserve"> LESRPE (Poblaciones de Andalucía, Castilla-La Mancha y Extremadura) (RD139/2011)
LESRPE (Poblaciones al sur del Duero) (Orden TEC/596/2019)
 LESRPE (Todas las poblaciones) (Orden TED/980/2021)</t>
  </si>
  <si>
    <t>Ley 1/2025, de 1 de abril, de prevención de las pérdidas y el desperdicio alimentario. "Disposición final decimonovena se incluyen en el Listado las poblaciones al Sur del Duero". (BOE nº 80, 2 de abril de 2025).</t>
  </si>
  <si>
    <t>Castor fiber</t>
  </si>
  <si>
    <r>
      <rPr>
        <i/>
        <sz val="10"/>
        <rFont val="Arial"/>
        <family val="2"/>
      </rPr>
      <t>Castor fiber</t>
    </r>
    <r>
      <rPr>
        <sz val="10"/>
        <rFont val="Arial"/>
        <family val="2"/>
      </rPr>
      <t xml:space="preserve"> Linnaeus, 1758</t>
    </r>
  </si>
  <si>
    <t>Castor europeo</t>
  </si>
  <si>
    <t>Crocidura canariensis</t>
  </si>
  <si>
    <r>
      <rPr>
        <i/>
        <sz val="10"/>
        <rFont val="Arial"/>
        <family val="2"/>
      </rPr>
      <t>Crocidura canariensis</t>
    </r>
    <r>
      <rPr>
        <sz val="10"/>
        <rFont val="Arial"/>
        <family val="2"/>
      </rPr>
      <t xml:space="preserve"> Hutterer, López-Jurado y Vogel, 1987</t>
    </r>
  </si>
  <si>
    <t>Musaraña canaria</t>
  </si>
  <si>
    <t>Delphinus delphis Linnaeus, 1758</t>
  </si>
  <si>
    <t>Atlántico</t>
  </si>
  <si>
    <r>
      <t xml:space="preserve">Delphinus delphis </t>
    </r>
    <r>
      <rPr>
        <sz val="10"/>
        <rFont val="Arial"/>
        <family val="2"/>
      </rPr>
      <t>Linnaeus, 1758</t>
    </r>
  </si>
  <si>
    <t>Eliomys munbyanus</t>
  </si>
  <si>
    <r>
      <rPr>
        <i/>
        <sz val="10"/>
        <rFont val="Arial"/>
        <family val="2"/>
      </rPr>
      <t>Eliomys munbyanus</t>
    </r>
    <r>
      <rPr>
        <sz val="10"/>
        <rFont val="Arial"/>
        <family val="2"/>
      </rPr>
      <t xml:space="preserve"> (Pomel, 1856)</t>
    </r>
  </si>
  <si>
    <t>Lirón careto magrebí</t>
  </si>
  <si>
    <t>Eptesicus isabellinus(antes E. serotinus)</t>
  </si>
  <si>
    <r>
      <rPr>
        <i/>
        <sz val="10"/>
        <rFont val="Arial"/>
        <family val="2"/>
      </rPr>
      <t>Eptesicus isabellinus</t>
    </r>
    <r>
      <rPr>
        <sz val="10"/>
        <rFont val="Arial"/>
        <family val="2"/>
      </rPr>
      <t xml:space="preserve"> (Temminck, 1840)</t>
    </r>
  </si>
  <si>
    <t>Eptesicus serotinus</t>
  </si>
  <si>
    <r>
      <rPr>
        <i/>
        <sz val="10"/>
        <rFont val="Arial"/>
        <family val="2"/>
      </rPr>
      <t>Eptesicus serotinus</t>
    </r>
    <r>
      <rPr>
        <sz val="10"/>
        <rFont val="Arial"/>
        <family val="2"/>
      </rPr>
      <t xml:space="preserve"> (Schreber, 1774)</t>
    </r>
  </si>
  <si>
    <t>Murciélago hortelano</t>
  </si>
  <si>
    <t>Eubalaena glacialis</t>
  </si>
  <si>
    <r>
      <rPr>
        <i/>
        <sz val="10"/>
        <rFont val="Arial"/>
        <family val="2"/>
      </rPr>
      <t>Eubalaena glacialis</t>
    </r>
    <r>
      <rPr>
        <sz val="10"/>
        <rFont val="Arial"/>
        <family val="2"/>
      </rPr>
      <t xml:space="preserve"> (Müller, 1776)</t>
    </r>
  </si>
  <si>
    <t>Ballena vasca</t>
  </si>
  <si>
    <r>
      <rPr>
        <i/>
        <sz val="10"/>
        <rFont val="Arial"/>
        <family val="2"/>
      </rPr>
      <t>Felis silvestris</t>
    </r>
    <r>
      <rPr>
        <sz val="10"/>
        <rFont val="Arial"/>
        <family val="2"/>
      </rPr>
      <t xml:space="preserve"> Schreber, 1777</t>
    </r>
  </si>
  <si>
    <t>Galemys pyrenaicus</t>
  </si>
  <si>
    <r>
      <rPr>
        <i/>
        <sz val="10"/>
        <rFont val="Arial"/>
        <family val="2"/>
      </rPr>
      <t>Galemys pyrenaicus</t>
    </r>
    <r>
      <rPr>
        <sz val="10"/>
        <rFont val="Arial"/>
        <family val="2"/>
      </rPr>
      <t xml:space="preserve"> (É. Geoffroy Saint-Hilaire, 1811)</t>
    </r>
  </si>
  <si>
    <t>Desmán ibérico</t>
  </si>
  <si>
    <t>Sistema Central</t>
  </si>
  <si>
    <t>Excepto Sistema Central</t>
  </si>
  <si>
    <t xml:space="preserve"> Vulnerable (Todas las poblaciones excepto Sistema Central) (RD139/2011)</t>
  </si>
  <si>
    <t>Globicephala macrorhynchus</t>
  </si>
  <si>
    <r>
      <rPr>
        <i/>
        <sz val="10"/>
        <rFont val="Arial"/>
        <family val="2"/>
      </rPr>
      <t>Globicephala macrorhynchus</t>
    </r>
    <r>
      <rPr>
        <sz val="10"/>
        <rFont val="Arial"/>
        <family val="2"/>
      </rPr>
      <t xml:space="preserve"> Gray, 1846</t>
    </r>
  </si>
  <si>
    <t>Calderón tropical</t>
  </si>
  <si>
    <r>
      <rPr>
        <i/>
        <sz val="10"/>
        <rFont val="Arial"/>
        <family val="2"/>
      </rPr>
      <t>Globicephala melas</t>
    </r>
    <r>
      <rPr>
        <sz val="10"/>
        <rFont val="Arial"/>
        <family val="2"/>
      </rPr>
      <t xml:space="preserve"> (Traill, 1809)</t>
    </r>
  </si>
  <si>
    <r>
      <rPr>
        <i/>
        <sz val="10"/>
        <rFont val="Arial"/>
        <family val="2"/>
      </rPr>
      <t>Grampus griseus</t>
    </r>
    <r>
      <rPr>
        <sz val="10"/>
        <rFont val="Arial"/>
        <family val="2"/>
      </rPr>
      <t xml:space="preserve"> (G. Cuvier, 1812)</t>
    </r>
  </si>
  <si>
    <r>
      <rPr>
        <i/>
        <sz val="10"/>
        <rFont val="Arial"/>
        <family val="2"/>
      </rPr>
      <t>Hyperoodon ampullatus</t>
    </r>
    <r>
      <rPr>
        <sz val="10"/>
        <rFont val="Arial"/>
        <family val="2"/>
      </rPr>
      <t xml:space="preserve"> (Forster, 1770)</t>
    </r>
  </si>
  <si>
    <r>
      <rPr>
        <i/>
        <sz val="10"/>
        <rFont val="Arial"/>
        <family val="2"/>
      </rPr>
      <t>Hypsugo savii</t>
    </r>
    <r>
      <rPr>
        <sz val="10"/>
        <rFont val="Arial"/>
        <family val="2"/>
      </rPr>
      <t xml:space="preserve"> (Bonaparte, 1837)</t>
    </r>
  </si>
  <si>
    <t>Iberomys (Microtus) cabrerae</t>
  </si>
  <si>
    <r>
      <rPr>
        <i/>
        <sz val="10"/>
        <rFont val="Arial"/>
        <family val="2"/>
      </rPr>
      <t>Microtus cabrerae</t>
    </r>
    <r>
      <rPr>
        <sz val="10"/>
        <rFont val="Arial"/>
        <family val="2"/>
      </rPr>
      <t xml:space="preserve"> Thomas, 1906</t>
    </r>
  </si>
  <si>
    <t>Iberón, Topillo de Cabrera</t>
  </si>
  <si>
    <r>
      <t xml:space="preserve">LESRPE incluido como </t>
    </r>
    <r>
      <rPr>
        <i/>
        <sz val="10"/>
        <rFont val="Arial"/>
        <family val="2"/>
      </rPr>
      <t>Microtus cabrerae</t>
    </r>
    <r>
      <rPr>
        <sz val="10"/>
        <rFont val="Arial"/>
        <family val="2"/>
      </rPr>
      <t xml:space="preserve">(Real Decreto139/2011) </t>
    </r>
  </si>
  <si>
    <r>
      <rPr>
        <i/>
        <sz val="10"/>
        <rFont val="Arial"/>
        <family val="2"/>
      </rPr>
      <t>Miniopterus schreibersii</t>
    </r>
    <r>
      <rPr>
        <sz val="10"/>
        <rFont val="Arial"/>
        <family val="2"/>
      </rPr>
      <t xml:space="preserve"> (Kuhl, 1817)</t>
    </r>
  </si>
  <si>
    <t>Monachus monachus</t>
  </si>
  <si>
    <r>
      <rPr>
        <i/>
        <sz val="10"/>
        <rFont val="Arial"/>
        <family val="2"/>
      </rPr>
      <t>Monachus monachus</t>
    </r>
    <r>
      <rPr>
        <sz val="10"/>
        <rFont val="Arial"/>
        <family val="2"/>
      </rPr>
      <t xml:space="preserve"> (Hermann, 1779)</t>
    </r>
  </si>
  <si>
    <t>Foca monje del Mediterráneo</t>
  </si>
  <si>
    <t>Mustela erminea</t>
  </si>
  <si>
    <r>
      <rPr>
        <i/>
        <sz val="10"/>
        <rFont val="Arial"/>
        <family val="2"/>
      </rPr>
      <t>Mustela erminea</t>
    </r>
    <r>
      <rPr>
        <sz val="10"/>
        <rFont val="Arial"/>
        <family val="2"/>
      </rPr>
      <t xml:space="preserve"> Linnaeus, 1758</t>
    </r>
  </si>
  <si>
    <t>Armiño</t>
  </si>
  <si>
    <t>Mustela lutreola</t>
  </si>
  <si>
    <r>
      <rPr>
        <i/>
        <sz val="10"/>
        <rFont val="Arial"/>
        <family val="2"/>
      </rPr>
      <t>Mustela lutreola</t>
    </r>
    <r>
      <rPr>
        <sz val="10"/>
        <rFont val="Arial"/>
        <family val="2"/>
      </rPr>
      <t xml:space="preserve"> (Linnaeus, 1761)</t>
    </r>
  </si>
  <si>
    <t>Visón europeo</t>
  </si>
  <si>
    <t>Myotis alcathoe (= M. mystacinus)</t>
  </si>
  <si>
    <r>
      <rPr>
        <i/>
        <sz val="10"/>
        <rFont val="Arial"/>
        <family val="2"/>
      </rPr>
      <t>Myotis alcathoe</t>
    </r>
    <r>
      <rPr>
        <sz val="10"/>
        <rFont val="Arial"/>
        <family val="2"/>
      </rPr>
      <t xml:space="preserve"> Helversen &amp; Heller, 2001</t>
    </r>
  </si>
  <si>
    <t>Murciélago ratonero bigotudo pequeño</t>
  </si>
  <si>
    <r>
      <rPr>
        <i/>
        <sz val="10"/>
        <rFont val="Arial"/>
        <family val="2"/>
      </rPr>
      <t>Myotis bechsteinii</t>
    </r>
    <r>
      <rPr>
        <sz val="10"/>
        <rFont val="Arial"/>
        <family val="2"/>
      </rPr>
      <t xml:space="preserve"> (Kuhl, 1817)</t>
    </r>
  </si>
  <si>
    <t>Myotis blythii</t>
  </si>
  <si>
    <r>
      <rPr>
        <i/>
        <sz val="10"/>
        <rFont val="Arial"/>
        <family val="2"/>
      </rPr>
      <t>Myotis blythii</t>
    </r>
    <r>
      <rPr>
        <sz val="10"/>
        <rFont val="Arial"/>
        <family val="2"/>
      </rPr>
      <t xml:space="preserve"> (Tomes, 1857)</t>
    </r>
  </si>
  <si>
    <r>
      <rPr>
        <i/>
        <sz val="10"/>
        <rFont val="Arial"/>
        <family val="2"/>
      </rPr>
      <t>Myotis capaccinii</t>
    </r>
    <r>
      <rPr>
        <sz val="10"/>
        <rFont val="Arial"/>
        <family val="2"/>
      </rPr>
      <t xml:space="preserve"> (Bonaparte, 1837)</t>
    </r>
  </si>
  <si>
    <t>Murciélago ratonero patudo</t>
  </si>
  <si>
    <r>
      <rPr>
        <i/>
        <sz val="10"/>
        <rFont val="Arial"/>
        <family val="2"/>
      </rPr>
      <t>Myotis daubentonii</t>
    </r>
    <r>
      <rPr>
        <sz val="10"/>
        <rFont val="Arial"/>
        <family val="2"/>
      </rPr>
      <t xml:space="preserve"> (Kuhl, 1817)</t>
    </r>
  </si>
  <si>
    <t>Murciélago ratonero ribereño</t>
  </si>
  <si>
    <t>Myotis emarginatus</t>
  </si>
  <si>
    <r>
      <rPr>
        <i/>
        <sz val="10"/>
        <rFont val="Arial"/>
        <family val="2"/>
      </rPr>
      <t>Myotis emarginatus</t>
    </r>
    <r>
      <rPr>
        <sz val="10"/>
        <rFont val="Arial"/>
        <family val="2"/>
      </rPr>
      <t xml:space="preserve"> (E. Geoffroy, 1806)</t>
    </r>
  </si>
  <si>
    <r>
      <rPr>
        <i/>
        <sz val="10"/>
        <rFont val="Arial"/>
        <family val="2"/>
      </rPr>
      <t xml:space="preserve">Myotis escalerai </t>
    </r>
    <r>
      <rPr>
        <sz val="10"/>
        <rFont val="Arial"/>
        <family val="2"/>
      </rPr>
      <t>Cabrera, 1904</t>
    </r>
    <r>
      <rPr>
        <i/>
        <sz val="10"/>
        <rFont val="Arial"/>
        <family val="2"/>
      </rPr>
      <t/>
    </r>
  </si>
  <si>
    <t>Murciélago ratonero ibérico</t>
  </si>
  <si>
    <r>
      <rPr>
        <i/>
        <sz val="10"/>
        <rFont val="Arial"/>
        <family val="2"/>
      </rPr>
      <t xml:space="preserve">Myotis nattereri </t>
    </r>
    <r>
      <rPr>
        <sz val="10"/>
        <rFont val="Arial"/>
        <family val="2"/>
      </rPr>
      <t xml:space="preserve">se ha dividido en dos especies </t>
    </r>
    <r>
      <rPr>
        <i/>
        <sz val="10"/>
        <rFont val="Arial"/>
        <family val="2"/>
      </rPr>
      <t xml:space="preserve">M.escalerai </t>
    </r>
    <r>
      <rPr>
        <sz val="10"/>
        <rFont val="Arial"/>
        <family val="2"/>
      </rPr>
      <t xml:space="preserve">y </t>
    </r>
    <r>
      <rPr>
        <i/>
        <sz val="10"/>
        <rFont val="Arial"/>
        <family val="2"/>
      </rPr>
      <t xml:space="preserve">M. crypticus. 
</t>
    </r>
    <r>
      <rPr>
        <i/>
        <u/>
        <sz val="10"/>
        <rFont val="Arial"/>
        <family val="2"/>
      </rPr>
      <t xml:space="preserve">Myotis escalerai </t>
    </r>
    <r>
      <rPr>
        <u/>
        <sz val="10"/>
        <rFont val="Arial"/>
        <family val="2"/>
      </rPr>
      <t xml:space="preserve">Cabrera, 1904
</t>
    </r>
    <r>
      <rPr>
        <sz val="10"/>
        <rFont val="Arial"/>
        <family val="2"/>
      </rPr>
      <t>Nombre común actualizado: Murciélago ratonero ibérico</t>
    </r>
  </si>
  <si>
    <r>
      <rPr>
        <i/>
        <sz val="10"/>
        <color theme="1"/>
        <rFont val="Arial"/>
        <family val="2"/>
      </rPr>
      <t>Myotis crypticus</t>
    </r>
    <r>
      <rPr>
        <sz val="10"/>
        <color theme="1"/>
        <rFont val="Arial"/>
        <family val="2"/>
      </rPr>
      <t xml:space="preserve"> Ruedi et al., 2019</t>
    </r>
  </si>
  <si>
    <t>Murciélago ratonero críptico</t>
  </si>
  <si>
    <r>
      <rPr>
        <i/>
        <sz val="10"/>
        <rFont val="Arial"/>
        <family val="2"/>
      </rPr>
      <t xml:space="preserve">Myotis nattereri </t>
    </r>
    <r>
      <rPr>
        <sz val="10"/>
        <rFont val="Arial"/>
        <family val="2"/>
      </rPr>
      <t xml:space="preserve">se ha dividido en dos especies </t>
    </r>
    <r>
      <rPr>
        <i/>
        <sz val="10"/>
        <rFont val="Arial"/>
        <family val="2"/>
      </rPr>
      <t xml:space="preserve">M.escalerai </t>
    </r>
    <r>
      <rPr>
        <sz val="10"/>
        <rFont val="Arial"/>
        <family val="2"/>
      </rPr>
      <t xml:space="preserve">y </t>
    </r>
    <r>
      <rPr>
        <i/>
        <sz val="10"/>
        <rFont val="Arial"/>
        <family val="2"/>
      </rPr>
      <t xml:space="preserve">M. crypticus. 
</t>
    </r>
    <r>
      <rPr>
        <i/>
        <u/>
        <sz val="10"/>
        <rFont val="Arial"/>
        <family val="2"/>
      </rPr>
      <t xml:space="preserve">Myotis crypticus </t>
    </r>
    <r>
      <rPr>
        <u/>
        <sz val="10"/>
        <rFont val="Arial"/>
        <family val="2"/>
      </rPr>
      <t xml:space="preserve">Ruedi et al., 2019
</t>
    </r>
    <r>
      <rPr>
        <sz val="10"/>
        <rFont val="Arial"/>
        <family val="2"/>
      </rPr>
      <t>Nombre común actualizado: Murciélago ratonero críptico</t>
    </r>
  </si>
  <si>
    <t>Myotis mystacinus</t>
  </si>
  <si>
    <r>
      <rPr>
        <i/>
        <sz val="10"/>
        <rFont val="Arial"/>
        <family val="2"/>
      </rPr>
      <t>Myotis mystacinus</t>
    </r>
    <r>
      <rPr>
        <sz val="10"/>
        <rFont val="Arial"/>
        <family val="2"/>
      </rPr>
      <t xml:space="preserve"> (Kuhl, 1817)</t>
    </r>
  </si>
  <si>
    <t>Murciélago ratonero bigotudo</t>
  </si>
  <si>
    <t>Myotis punicus</t>
  </si>
  <si>
    <r>
      <rPr>
        <i/>
        <sz val="10"/>
        <rFont val="Arial"/>
        <family val="2"/>
      </rPr>
      <t xml:space="preserve">Myotis punicus </t>
    </r>
    <r>
      <rPr>
        <sz val="10"/>
        <rFont val="Arial"/>
        <family val="2"/>
      </rPr>
      <t>Felten, 1977</t>
    </r>
  </si>
  <si>
    <t>Murciélago ratonero moruno</t>
  </si>
  <si>
    <r>
      <rPr>
        <i/>
        <sz val="10"/>
        <rFont val="Arial"/>
        <family val="2"/>
      </rPr>
      <t>Nyctalus lasiopterus</t>
    </r>
    <r>
      <rPr>
        <sz val="10"/>
        <rFont val="Arial"/>
        <family val="2"/>
      </rPr>
      <t xml:space="preserve"> (Schreber, 1780)</t>
    </r>
  </si>
  <si>
    <r>
      <rPr>
        <i/>
        <sz val="10"/>
        <rFont val="Arial"/>
        <family val="2"/>
      </rPr>
      <t xml:space="preserve">Nyctalus leisleri </t>
    </r>
    <r>
      <rPr>
        <sz val="10"/>
        <rFont val="Arial"/>
        <family val="2"/>
      </rPr>
      <t>(Kuhl, 1817)</t>
    </r>
  </si>
  <si>
    <t>Nyctalus noctula</t>
  </si>
  <si>
    <r>
      <rPr>
        <i/>
        <sz val="10"/>
        <rFont val="Arial"/>
        <family val="2"/>
      </rPr>
      <t>Nyctalus noctula</t>
    </r>
    <r>
      <rPr>
        <sz val="10"/>
        <rFont val="Arial"/>
        <family val="2"/>
      </rPr>
      <t xml:space="preserve"> (Schreber, 1774)</t>
    </r>
  </si>
  <si>
    <r>
      <rPr>
        <i/>
        <sz val="10"/>
        <rFont val="Arial"/>
        <family val="2"/>
      </rPr>
      <t>Orcinus orca</t>
    </r>
    <r>
      <rPr>
        <sz val="10"/>
        <rFont val="Arial"/>
        <family val="2"/>
      </rPr>
      <t xml:space="preserve"> (Linnaeus, 1758)</t>
    </r>
  </si>
  <si>
    <t>Excepto Estrecho de Gibraltar y Golfo de Cádiz</t>
  </si>
  <si>
    <t>Estrecho de Gibraltar y Golfo de Cádiz</t>
  </si>
  <si>
    <t>Phocoena phocoena</t>
  </si>
  <si>
    <r>
      <rPr>
        <i/>
        <sz val="10"/>
        <rFont val="Arial"/>
        <family val="2"/>
      </rPr>
      <t>Phocoena phocoena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</si>
  <si>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Physeter macrocephalus</t>
    </r>
    <r>
      <rPr>
        <sz val="10"/>
        <rFont val="Arial"/>
        <family val="2"/>
      </rPr>
      <t xml:space="preserve"> Linnaeus, 1758</t>
    </r>
  </si>
  <si>
    <r>
      <rPr>
        <i/>
        <sz val="10"/>
        <rFont val="Arial"/>
        <family val="2"/>
      </rPr>
      <t>Pipistrellus kuhlii</t>
    </r>
    <r>
      <rPr>
        <sz val="10"/>
        <rFont val="Arial"/>
        <family val="2"/>
      </rPr>
      <t xml:space="preserve"> (Kuhl, 1817)</t>
    </r>
  </si>
  <si>
    <t>Pipistrellus maderensis</t>
  </si>
  <si>
    <r>
      <rPr>
        <i/>
        <sz val="10"/>
        <rFont val="Arial"/>
        <family val="2"/>
      </rPr>
      <t>Pipistrellus maderensis</t>
    </r>
    <r>
      <rPr>
        <sz val="10"/>
        <rFont val="Arial"/>
        <family val="2"/>
      </rPr>
      <t xml:space="preserve"> (Dobson, 1878)</t>
    </r>
  </si>
  <si>
    <t>Murciálago de Madeira</t>
  </si>
  <si>
    <t>Pipistrellus nathusii</t>
  </si>
  <si>
    <r>
      <rPr>
        <i/>
        <sz val="10"/>
        <rFont val="Arial"/>
        <family val="2"/>
      </rPr>
      <t>Pipistrellus nathusii</t>
    </r>
    <r>
      <rPr>
        <sz val="10"/>
        <rFont val="Arial"/>
        <family val="2"/>
      </rPr>
      <t xml:space="preserve"> (Keyserling &amp; Blasius, 1839)</t>
    </r>
  </si>
  <si>
    <t>Murciélago de Nathusius</t>
  </si>
  <si>
    <r>
      <rPr>
        <i/>
        <sz val="10"/>
        <rFont val="Arial"/>
        <family val="2"/>
      </rPr>
      <t>Pipistrellus pipistrellus</t>
    </r>
    <r>
      <rPr>
        <sz val="10"/>
        <rFont val="Arial"/>
        <family val="2"/>
      </rPr>
      <t xml:space="preserve"> (Schreber, 1774)</t>
    </r>
  </si>
  <si>
    <t>Nombre común actualizado: Murciélago enano</t>
  </si>
  <si>
    <t>Pipistrellus pygmaeus (antes P. pipistrellus)</t>
  </si>
  <si>
    <r>
      <rPr>
        <i/>
        <sz val="10"/>
        <rFont val="Arial"/>
        <family val="2"/>
      </rPr>
      <t>Pipistrellus pygmaeus</t>
    </r>
    <r>
      <rPr>
        <sz val="10"/>
        <rFont val="Arial"/>
        <family val="2"/>
      </rPr>
      <t xml:space="preserve"> (Leach, 1825)</t>
    </r>
  </si>
  <si>
    <t>Plecotus auritus</t>
  </si>
  <si>
    <r>
      <rPr>
        <i/>
        <sz val="10"/>
        <rFont val="Arial"/>
        <family val="2"/>
      </rPr>
      <t>Plecotus auritus</t>
    </r>
    <r>
      <rPr>
        <sz val="10"/>
        <rFont val="Arial"/>
        <family val="2"/>
      </rPr>
      <t xml:space="preserve"> (Linnaeus, 1758)</t>
    </r>
  </si>
  <si>
    <t>Murciélago orejudo dorado o septentrional</t>
  </si>
  <si>
    <r>
      <rPr>
        <i/>
        <sz val="10"/>
        <rFont val="Arial"/>
        <family val="2"/>
      </rPr>
      <t>Plecotus austriacus</t>
    </r>
    <r>
      <rPr>
        <sz val="10"/>
        <rFont val="Arial"/>
        <family val="2"/>
      </rPr>
      <t xml:space="preserve"> (J. Fischer, 1829)</t>
    </r>
  </si>
  <si>
    <t>Murciélago orejudo gris o meridional</t>
  </si>
  <si>
    <t>Plecotus macrobullaris</t>
  </si>
  <si>
    <r>
      <rPr>
        <i/>
        <sz val="10"/>
        <rFont val="Arial"/>
        <family val="2"/>
      </rPr>
      <t>Plecotus macrobullaris</t>
    </r>
    <r>
      <rPr>
        <sz val="10"/>
        <rFont val="Arial"/>
        <family val="2"/>
      </rPr>
      <t xml:space="preserve"> Kuzjakin,1965</t>
    </r>
  </si>
  <si>
    <t>Murciélago orejudo alpino</t>
  </si>
  <si>
    <t>Plecotus teneriffae</t>
  </si>
  <si>
    <r>
      <rPr>
        <i/>
        <sz val="10"/>
        <rFont val="Arial"/>
        <family val="2"/>
      </rPr>
      <t>Plecotus teneriffae</t>
    </r>
    <r>
      <rPr>
        <sz val="10"/>
        <rFont val="Arial"/>
        <family val="2"/>
      </rPr>
      <t xml:space="preserve"> Barrett-Hamilton, 1907</t>
    </r>
  </si>
  <si>
    <t>Murciélago orejudo canario</t>
  </si>
  <si>
    <t>Pseudorca crassidens</t>
  </si>
  <si>
    <r>
      <rPr>
        <i/>
        <sz val="10"/>
        <rFont val="Arial"/>
        <family val="2"/>
      </rPr>
      <t>Pseudorca crassidens</t>
    </r>
    <r>
      <rPr>
        <sz val="10"/>
        <rFont val="Arial"/>
        <family val="2"/>
      </rPr>
      <t xml:space="preserve"> (Owen, 1846)</t>
    </r>
  </si>
  <si>
    <t>Falsa orca</t>
  </si>
  <si>
    <t>Rhinolophus euryale</t>
  </si>
  <si>
    <r>
      <rPr>
        <i/>
        <sz val="10"/>
        <rFont val="Arial"/>
        <family val="2"/>
      </rPr>
      <t>Rhinolophus euryale</t>
    </r>
    <r>
      <rPr>
        <sz val="10"/>
        <rFont val="Arial"/>
        <family val="2"/>
      </rPr>
      <t xml:space="preserve"> Blasius, 1853</t>
    </r>
  </si>
  <si>
    <r>
      <rPr>
        <i/>
        <sz val="10"/>
        <rFont val="Arial"/>
        <family val="2"/>
      </rPr>
      <t>Rhinolophus ferrumequinum</t>
    </r>
    <r>
      <rPr>
        <sz val="10"/>
        <rFont val="Arial"/>
        <family val="2"/>
      </rPr>
      <t xml:space="preserve"> (Schreber, 1774)</t>
    </r>
  </si>
  <si>
    <r>
      <rPr>
        <i/>
        <sz val="10"/>
        <rFont val="Arial"/>
        <family val="2"/>
      </rPr>
      <t>Rhinolophus hipposideros</t>
    </r>
    <r>
      <rPr>
        <sz val="10"/>
        <rFont val="Arial"/>
        <family val="2"/>
      </rPr>
      <t xml:space="preserve"> (Bechstein, 1800)</t>
    </r>
  </si>
  <si>
    <t>Rhinolophus mehelyi</t>
  </si>
  <si>
    <r>
      <rPr>
        <i/>
        <sz val="10"/>
        <rFont val="Arial"/>
        <family val="2"/>
      </rPr>
      <t>Rhinolophus mehelyi</t>
    </r>
    <r>
      <rPr>
        <sz val="10"/>
        <rFont val="Arial"/>
        <family val="2"/>
      </rPr>
      <t xml:space="preserve"> Matschie, 1901</t>
    </r>
  </si>
  <si>
    <r>
      <rPr>
        <i/>
        <sz val="10"/>
        <rFont val="Arial"/>
        <family val="2"/>
      </rPr>
      <t>Stenella coeruleoalba</t>
    </r>
    <r>
      <rPr>
        <sz val="10"/>
        <rFont val="Arial"/>
        <family val="2"/>
      </rPr>
      <t xml:space="preserve"> (Meyen, 1833)</t>
    </r>
  </si>
  <si>
    <t>Stenella frontalis</t>
  </si>
  <si>
    <r>
      <rPr>
        <i/>
        <sz val="10"/>
        <rFont val="Arial"/>
        <family val="2"/>
      </rPr>
      <t>Stenella frontalis</t>
    </r>
    <r>
      <rPr>
        <sz val="10"/>
        <rFont val="Arial"/>
        <family val="2"/>
      </rPr>
      <t xml:space="preserve"> (G. Cuvier, 1829)</t>
    </r>
  </si>
  <si>
    <t>Delfín moteado del Atlántico</t>
  </si>
  <si>
    <t>Steno bredanensis</t>
  </si>
  <si>
    <r>
      <rPr>
        <i/>
        <sz val="10"/>
        <rFont val="Arial"/>
        <family val="2"/>
      </rPr>
      <t>Steno bredanensis</t>
    </r>
    <r>
      <rPr>
        <sz val="10"/>
        <rFont val="Arial"/>
        <family val="2"/>
      </rPr>
      <t xml:space="preserve"> (G. Cuvier, in Lesson, 1828)</t>
    </r>
  </si>
  <si>
    <t>Delfín de dientes rugosos</t>
  </si>
  <si>
    <r>
      <rPr>
        <i/>
        <sz val="10"/>
        <rFont val="Arial"/>
        <family val="2"/>
      </rPr>
      <t>Tadarida teniotis</t>
    </r>
    <r>
      <rPr>
        <sz val="10"/>
        <rFont val="Arial"/>
        <family val="2"/>
      </rPr>
      <t xml:space="preserve"> (Rafinesque, 1814)</t>
    </r>
  </si>
  <si>
    <t>Tursiops truncatus</t>
  </si>
  <si>
    <r>
      <rPr>
        <i/>
        <sz val="10"/>
        <rFont val="Arial"/>
        <family val="2"/>
      </rPr>
      <t>Tursiops truncatus</t>
    </r>
    <r>
      <rPr>
        <sz val="10"/>
        <rFont val="Arial"/>
        <family val="2"/>
      </rPr>
      <t xml:space="preserve"> (Montagu,1821)</t>
    </r>
  </si>
  <si>
    <t>Ursus arctos</t>
  </si>
  <si>
    <r>
      <rPr>
        <i/>
        <sz val="10"/>
        <rFont val="Arial"/>
        <family val="2"/>
      </rPr>
      <t xml:space="preserve">Ursus arctos </t>
    </r>
    <r>
      <rPr>
        <sz val="10"/>
        <rFont val="Arial"/>
        <family val="2"/>
      </rPr>
      <t>Linnaeus, 1758</t>
    </r>
  </si>
  <si>
    <t>Oso pardo</t>
  </si>
  <si>
    <r>
      <rPr>
        <i/>
        <sz val="10"/>
        <rFont val="Arial"/>
        <family val="2"/>
      </rPr>
      <t>Ziphius cavirostris</t>
    </r>
    <r>
      <rPr>
        <sz val="10"/>
        <rFont val="Arial"/>
        <family val="2"/>
      </rPr>
      <t xml:space="preserve"> G. Cuvier, 1823</t>
    </r>
  </si>
  <si>
    <t>Zifio de Cuvier, Zifio común</t>
  </si>
  <si>
    <t>Peces</t>
  </si>
  <si>
    <r>
      <rPr>
        <i/>
        <sz val="10"/>
        <rFont val="Arial"/>
        <family val="2"/>
      </rPr>
      <t>Achondrostoma arcasii</t>
    </r>
    <r>
      <rPr>
        <sz val="10"/>
        <rFont val="Arial"/>
        <family val="2"/>
      </rPr>
      <t xml:space="preserve"> (Steindachner, 1866)</t>
    </r>
  </si>
  <si>
    <t>Bermejuela</t>
  </si>
  <si>
    <t>Acipenser sturio</t>
  </si>
  <si>
    <r>
      <rPr>
        <i/>
        <sz val="10"/>
        <rFont val="Arial"/>
        <family val="2"/>
      </rPr>
      <t>Acipenser sturio</t>
    </r>
    <r>
      <rPr>
        <sz val="10"/>
        <rFont val="Arial"/>
        <family val="2"/>
      </rPr>
      <t xml:space="preserve"> Linnaeus, 1758 </t>
    </r>
  </si>
  <si>
    <t>Aetomylaeus bovinus (É. Geoffroy Saint-Hilaire, 1817)</t>
  </si>
  <si>
    <r>
      <t xml:space="preserve">Aetomylaeus bovinus </t>
    </r>
    <r>
      <rPr>
        <sz val="10"/>
        <rFont val="Arial"/>
        <family val="2"/>
      </rPr>
      <t>(É. Geoffroy Saint-Hilaire, 1817)</t>
    </r>
  </si>
  <si>
    <t>Raya toro, Pez obispo</t>
  </si>
  <si>
    <t>(6) Alopiidae</t>
  </si>
  <si>
    <r>
      <t>Alopiidae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Bonaparte, 1835</t>
    </r>
  </si>
  <si>
    <t>familia</t>
  </si>
  <si>
    <t>Anaecypris hispanica</t>
  </si>
  <si>
    <r>
      <rPr>
        <i/>
        <sz val="10"/>
        <rFont val="Arial"/>
        <family val="2"/>
      </rPr>
      <t>Anaecypris hispanica</t>
    </r>
    <r>
      <rPr>
        <sz val="10"/>
        <rFont val="Arial"/>
        <family val="2"/>
      </rPr>
      <t xml:space="preserve"> (Steindachner, 1866)</t>
    </r>
  </si>
  <si>
    <t>Aphanius baeticus</t>
  </si>
  <si>
    <r>
      <rPr>
        <i/>
        <sz val="10"/>
        <rFont val="Arial"/>
        <family val="2"/>
      </rPr>
      <t>Aphanius baeticus</t>
    </r>
    <r>
      <rPr>
        <sz val="10"/>
        <rFont val="Arial"/>
        <family val="2"/>
      </rPr>
      <t xml:space="preserve"> Doadrio, Carmona &amp; Fernández-Delgado, 2002</t>
    </r>
  </si>
  <si>
    <t>Aphanius iberus</t>
  </si>
  <si>
    <r>
      <rPr>
        <i/>
        <sz val="10"/>
        <rFont val="Arial"/>
        <family val="2"/>
      </rPr>
      <t>Aphanius iberus</t>
    </r>
    <r>
      <rPr>
        <sz val="10"/>
        <rFont val="Arial"/>
        <family val="2"/>
      </rPr>
      <t xml:space="preserve"> (Valenciennes, 1846)</t>
    </r>
  </si>
  <si>
    <t>Bathytoshia lata (Garman, 1880)</t>
  </si>
  <si>
    <r>
      <rPr>
        <i/>
        <sz val="10"/>
        <rFont val="Arial"/>
        <family val="2"/>
      </rPr>
      <t>Bathytoshia lata</t>
    </r>
    <r>
      <rPr>
        <sz val="10"/>
        <rFont val="Arial"/>
        <family val="2"/>
      </rPr>
      <t xml:space="preserve"> (Garman, 1880)</t>
    </r>
  </si>
  <si>
    <t>Raya marrón</t>
  </si>
  <si>
    <r>
      <rPr>
        <i/>
        <sz val="10"/>
        <rFont val="Arial"/>
        <family val="2"/>
      </rPr>
      <t>Carcharias taurus</t>
    </r>
    <r>
      <rPr>
        <sz val="10"/>
        <rFont val="Arial"/>
        <family val="2"/>
      </rPr>
      <t xml:space="preserve"> Rafinesque, 1810</t>
    </r>
  </si>
  <si>
    <t>Todas</t>
  </si>
  <si>
    <t>LESRPE en el Mediterráneo (Orden AAA/75/2012)</t>
  </si>
  <si>
    <t>Carcharodon carcharias</t>
  </si>
  <si>
    <r>
      <rPr>
        <i/>
        <sz val="10"/>
        <rFont val="Arial"/>
        <family val="2"/>
      </rPr>
      <t>Carcharodon carcharias</t>
    </r>
    <r>
      <rPr>
        <sz val="10"/>
        <rFont val="Arial"/>
        <family val="2"/>
      </rPr>
      <t xml:space="preserve"> (Linnaeus, 1758)</t>
    </r>
  </si>
  <si>
    <t>Cetorhinus maximus</t>
  </si>
  <si>
    <r>
      <rPr>
        <i/>
        <sz val="10"/>
        <rFont val="Arial"/>
        <family val="2"/>
      </rPr>
      <t>Cetorhinus maximus</t>
    </r>
    <r>
      <rPr>
        <sz val="10"/>
        <rFont val="Arial"/>
        <family val="2"/>
      </rPr>
      <t xml:space="preserve"> (Gunnerus, 1765)</t>
    </r>
  </si>
  <si>
    <t>Mediterráneo y Atlántico ibérico</t>
  </si>
  <si>
    <t>Chilomycterus atringa</t>
  </si>
  <si>
    <r>
      <rPr>
        <i/>
        <sz val="10"/>
        <rFont val="Arial"/>
        <family val="2"/>
      </rPr>
      <t>Chilomycterus reticulatus</t>
    </r>
    <r>
      <rPr>
        <sz val="10"/>
        <rFont val="Arial"/>
        <family val="2"/>
      </rPr>
      <t xml:space="preserve"> (Linnaeus, 1758)</t>
    </r>
  </si>
  <si>
    <t>Tamboril espinoso</t>
  </si>
  <si>
    <t>Cottus aturi (= C. gobio)</t>
  </si>
  <si>
    <r>
      <rPr>
        <i/>
        <sz val="10"/>
        <rFont val="Arial"/>
        <family val="2"/>
      </rPr>
      <t>Cottus aturi</t>
    </r>
    <r>
      <rPr>
        <sz val="10"/>
        <rFont val="Arial"/>
        <family val="2"/>
      </rPr>
      <t xml:space="preserve"> Freyhof, Kottelat &amp; Nolte, 2005</t>
    </r>
  </si>
  <si>
    <t>Burtaina</t>
  </si>
  <si>
    <t>Cottus hispaniolensis (= C. gobio)</t>
  </si>
  <si>
    <r>
      <rPr>
        <i/>
        <sz val="10"/>
        <rFont val="Arial"/>
        <family val="2"/>
      </rPr>
      <t>Cottus hispaniolensis</t>
    </r>
    <r>
      <rPr>
        <sz val="10"/>
        <rFont val="Arial"/>
        <family val="2"/>
      </rPr>
      <t xml:space="preserve"> Bâcescu &amp; Bâcescu-Mester, 1964</t>
    </r>
  </si>
  <si>
    <t>Cavilat</t>
  </si>
  <si>
    <t>Dasyatis pastinaca (Linnaeus, 1758)</t>
  </si>
  <si>
    <r>
      <t xml:space="preserve">Dasyatis pastinaca </t>
    </r>
    <r>
      <rPr>
        <sz val="10"/>
        <rFont val="Arial"/>
        <family val="2"/>
      </rPr>
      <t>(Linnaeus, 1758)</t>
    </r>
  </si>
  <si>
    <t>Pastinaca, Raya látigo común, Chucho</t>
  </si>
  <si>
    <r>
      <rPr>
        <i/>
        <sz val="10"/>
        <rFont val="Arial"/>
        <family val="2"/>
      </rPr>
      <t>Dipturus batis</t>
    </r>
    <r>
      <rPr>
        <sz val="10"/>
        <rFont val="Arial"/>
        <family val="2"/>
      </rPr>
      <t xml:space="preserve"> (Linnaeus, 1758)</t>
    </r>
  </si>
  <si>
    <t>Galeorhinus galeus</t>
  </si>
  <si>
    <r>
      <rPr>
        <i/>
        <sz val="10"/>
        <rFont val="Arial"/>
        <family val="2"/>
      </rPr>
      <t>Galeorhinus galeus</t>
    </r>
    <r>
      <rPr>
        <sz val="10"/>
        <rFont val="Arial"/>
        <family val="2"/>
      </rPr>
      <t xml:space="preserve"> (Linnaeus, 1758)</t>
    </r>
  </si>
  <si>
    <t>Cazón</t>
  </si>
  <si>
    <r>
      <rPr>
        <i/>
        <sz val="10"/>
        <rFont val="Arial"/>
        <family val="2"/>
      </rPr>
      <t>Gymnura altavela</t>
    </r>
    <r>
      <rPr>
        <sz val="10"/>
        <rFont val="Arial"/>
        <family val="2"/>
      </rPr>
      <t xml:space="preserve"> (Linnaeus, 1758)</t>
    </r>
  </si>
  <si>
    <t>Hippocampus guttulatus (= H. ramulosus)</t>
  </si>
  <si>
    <r>
      <rPr>
        <i/>
        <sz val="10"/>
        <rFont val="Arial"/>
        <family val="2"/>
      </rPr>
      <t>Hippocampus guttulatus</t>
    </r>
    <r>
      <rPr>
        <sz val="10"/>
        <rFont val="Arial"/>
        <family val="2"/>
      </rPr>
      <t xml:space="preserve"> Cuvier, 1829</t>
    </r>
  </si>
  <si>
    <t>Hippocampus hippocampus</t>
  </si>
  <si>
    <r>
      <rPr>
        <i/>
        <sz val="10"/>
        <rFont val="Arial"/>
        <family val="2"/>
      </rPr>
      <t>Hippocampus hippocampus</t>
    </r>
    <r>
      <rPr>
        <sz val="10"/>
        <rFont val="Arial"/>
        <family val="2"/>
      </rPr>
      <t xml:space="preserve"> (Linnaeus, 1758)</t>
    </r>
  </si>
  <si>
    <t>Isurus oxyrinchus</t>
  </si>
  <si>
    <r>
      <rPr>
        <i/>
        <sz val="10"/>
        <rFont val="Arial"/>
        <family val="2"/>
      </rPr>
      <t>Isurus oxyrinchus</t>
    </r>
    <r>
      <rPr>
        <sz val="10"/>
        <rFont val="Arial"/>
        <family val="2"/>
      </rPr>
      <t xml:space="preserve"> Rafinesque, 1810</t>
    </r>
  </si>
  <si>
    <t>Marrajo común</t>
  </si>
  <si>
    <t>Lamna nasus</t>
  </si>
  <si>
    <r>
      <rPr>
        <i/>
        <sz val="10"/>
        <rFont val="Arial"/>
        <family val="2"/>
      </rPr>
      <t>Lamna nasus</t>
    </r>
    <r>
      <rPr>
        <sz val="10"/>
        <rFont val="Arial"/>
        <family val="2"/>
      </rPr>
      <t xml:space="preserve"> (Bonnaterre, 1788)</t>
    </r>
  </si>
  <si>
    <t>Cailón</t>
  </si>
  <si>
    <t>Lampetra planeri</t>
  </si>
  <si>
    <r>
      <rPr>
        <i/>
        <sz val="10"/>
        <rFont val="Arial"/>
        <family val="2"/>
      </rPr>
      <t>Lampetra planeri</t>
    </r>
    <r>
      <rPr>
        <sz val="10"/>
        <rFont val="Arial"/>
        <family val="2"/>
      </rPr>
      <t xml:space="preserve"> (Bloch, 1784)</t>
    </r>
  </si>
  <si>
    <t>Lamprea de arroyo</t>
  </si>
  <si>
    <t>Leucoraja circularis</t>
  </si>
  <si>
    <r>
      <rPr>
        <i/>
        <sz val="10"/>
        <rFont val="Arial"/>
        <family val="2"/>
      </rPr>
      <t>Leucoraja circularis</t>
    </r>
    <r>
      <rPr>
        <sz val="10"/>
        <rFont val="Arial"/>
        <family val="2"/>
      </rPr>
      <t xml:space="preserve"> (Couch, 1838)</t>
    </r>
  </si>
  <si>
    <t>Raya falsa vela</t>
  </si>
  <si>
    <t>Leucoraja melitensis</t>
  </si>
  <si>
    <r>
      <rPr>
        <i/>
        <sz val="10"/>
        <rFont val="Arial"/>
        <family val="2"/>
      </rPr>
      <t>Leucoraja melitensis</t>
    </r>
    <r>
      <rPr>
        <sz val="10"/>
        <rFont val="Arial"/>
        <family val="2"/>
      </rPr>
      <t xml:space="preserve"> (Clark, 1926)</t>
    </r>
  </si>
  <si>
    <t>Raya de Malta</t>
  </si>
  <si>
    <t>Mobula mobular</t>
  </si>
  <si>
    <r>
      <rPr>
        <i/>
        <sz val="10"/>
        <rFont val="Arial"/>
        <family val="2"/>
      </rPr>
      <t>Mobula mobular</t>
    </r>
    <r>
      <rPr>
        <sz val="10"/>
        <rFont val="Arial"/>
        <family val="2"/>
      </rPr>
      <t xml:space="preserve"> (Bonnaterre, 1788)</t>
    </r>
  </si>
  <si>
    <r>
      <rPr>
        <i/>
        <sz val="10"/>
        <rFont val="Arial"/>
        <family val="2"/>
      </rPr>
      <t>Odontaspis ferox</t>
    </r>
    <r>
      <rPr>
        <sz val="10"/>
        <rFont val="Arial"/>
        <family val="2"/>
      </rPr>
      <t xml:space="preserve"> (Risso, 1810)</t>
    </r>
  </si>
  <si>
    <r>
      <rPr>
        <i/>
        <sz val="10"/>
        <rFont val="Arial"/>
        <family val="2"/>
      </rPr>
      <t>Oxynotus centrina</t>
    </r>
    <r>
      <rPr>
        <sz val="10"/>
        <rFont val="Arial"/>
        <family val="2"/>
      </rPr>
      <t xml:space="preserve"> (Linnaeus, 1758)</t>
    </r>
  </si>
  <si>
    <t>Parachondrostoma arrigonis (= Chondrostoma arrigonis)</t>
  </si>
  <si>
    <r>
      <rPr>
        <i/>
        <sz val="10"/>
        <rFont val="Arial"/>
        <family val="2"/>
      </rPr>
      <t>Parachondrostoma arrigonis</t>
    </r>
    <r>
      <rPr>
        <sz val="10"/>
        <rFont val="Arial"/>
        <family val="2"/>
      </rPr>
      <t xml:space="preserve"> (Steindachner, 1866)</t>
    </r>
  </si>
  <si>
    <t xml:space="preserve"> Loína</t>
  </si>
  <si>
    <t>Petromyzon marinus</t>
  </si>
  <si>
    <r>
      <rPr>
        <i/>
        <sz val="10"/>
        <rFont val="Arial"/>
        <family val="2"/>
      </rPr>
      <t>Petromyzon marinus</t>
    </r>
    <r>
      <rPr>
        <sz val="10"/>
        <rFont val="Arial"/>
        <family val="2"/>
      </rPr>
      <t xml:space="preserve"> Linnaeus, 1758</t>
    </r>
  </si>
  <si>
    <t xml:space="preserve">Ríos Guadiana, Guadalquivir y Ebro y Cuenca Sur </t>
  </si>
  <si>
    <r>
      <rPr>
        <i/>
        <sz val="10"/>
        <rFont val="Arial"/>
        <family val="2"/>
      </rPr>
      <t>Pristis pectinata</t>
    </r>
    <r>
      <rPr>
        <sz val="10"/>
        <rFont val="Arial"/>
        <family val="2"/>
      </rPr>
      <t xml:space="preserve"> Latham, 1794</t>
    </r>
  </si>
  <si>
    <r>
      <rPr>
        <i/>
        <sz val="10"/>
        <rFont val="Arial"/>
        <family val="2"/>
      </rPr>
      <t>Pristis pristis</t>
    </r>
    <r>
      <rPr>
        <sz val="10"/>
        <rFont val="Arial"/>
        <family val="2"/>
      </rPr>
      <t xml:space="preserve"> (Linnaeus, 1758)</t>
    </r>
  </si>
  <si>
    <t>Rhinobatos cemiculus</t>
  </si>
  <si>
    <r>
      <rPr>
        <i/>
        <sz val="10"/>
        <rFont val="Arial"/>
        <family val="2"/>
      </rPr>
      <t>Glaucostegus cemiculus</t>
    </r>
    <r>
      <rPr>
        <sz val="10"/>
        <rFont val="Arial"/>
        <family val="2"/>
      </rPr>
      <t> (Geoffroy Saint-Hilaire, 1817)</t>
    </r>
    <r>
      <rPr>
        <strike/>
        <sz val="10"/>
        <rFont val="Arial"/>
        <family val="2"/>
      </rPr>
      <t/>
    </r>
  </si>
  <si>
    <t>Guitarra común</t>
  </si>
  <si>
    <t>Rhinobatos rhinobatos</t>
  </si>
  <si>
    <r>
      <rPr>
        <i/>
        <sz val="10"/>
        <rFont val="Arial"/>
        <family val="2"/>
      </rPr>
      <t>Rhinobatos rhinobatos</t>
    </r>
    <r>
      <rPr>
        <sz val="10"/>
        <rFont val="Arial"/>
        <family val="2"/>
      </rPr>
      <t xml:space="preserve"> (Linnaeus, 1758)</t>
    </r>
  </si>
  <si>
    <t>Guitarra barbanegra</t>
  </si>
  <si>
    <t>Rhinoptera marginata Geoffroy, 1817</t>
  </si>
  <si>
    <t>Rhinoptera marginata (Geoffroy Saint-Hilaire, 1817)</t>
  </si>
  <si>
    <t>Gavilán lusitánico, Pez arzobispo.</t>
  </si>
  <si>
    <r>
      <rPr>
        <i/>
        <sz val="10"/>
        <rFont val="Arial"/>
        <family val="2"/>
      </rPr>
      <t>Rostroraja alba</t>
    </r>
    <r>
      <rPr>
        <sz val="10"/>
        <rFont val="Arial"/>
        <family val="2"/>
      </rPr>
      <t xml:space="preserve"> (Lacepède, 1803)</t>
    </r>
  </si>
  <si>
    <r>
      <rPr>
        <i/>
        <sz val="10"/>
        <rFont val="Arial"/>
        <family val="2"/>
      </rPr>
      <t>Salariopsis fluviatilis</t>
    </r>
    <r>
      <rPr>
        <sz val="10"/>
        <rFont val="Arial"/>
        <family val="2"/>
      </rPr>
      <t xml:space="preserve"> (Asso, 1801)</t>
    </r>
  </si>
  <si>
    <t>(5) Sphyrnidae</t>
  </si>
  <si>
    <t>Sphyrnidae Bonaparte,1840</t>
  </si>
  <si>
    <r>
      <rPr>
        <i/>
        <sz val="10"/>
        <rFont val="Arial"/>
        <family val="2"/>
      </rPr>
      <t>Squalius palaciosi</t>
    </r>
    <r>
      <rPr>
        <sz val="10"/>
        <rFont val="Arial"/>
        <family val="2"/>
      </rPr>
      <t xml:space="preserve"> (Doadrio, 1980)</t>
    </r>
  </si>
  <si>
    <r>
      <rPr>
        <i/>
        <sz val="10"/>
        <rFont val="Arial"/>
        <family val="2"/>
      </rPr>
      <t>Squatina aculeata</t>
    </r>
    <r>
      <rPr>
        <sz val="10"/>
        <rFont val="Arial"/>
        <family val="2"/>
      </rPr>
      <t xml:space="preserve"> Cuvier, 1829</t>
    </r>
  </si>
  <si>
    <r>
      <t xml:space="preserve">Squatina aculeata </t>
    </r>
    <r>
      <rPr>
        <sz val="10"/>
        <rFont val="Arial"/>
        <family val="2"/>
      </rPr>
      <t>Cuvier, 1829</t>
    </r>
  </si>
  <si>
    <t>Squatina oculata</t>
  </si>
  <si>
    <r>
      <rPr>
        <i/>
        <sz val="10"/>
        <rFont val="Arial"/>
        <family val="2"/>
      </rPr>
      <t>Squatina oculata</t>
    </r>
    <r>
      <rPr>
        <sz val="10"/>
        <rFont val="Arial"/>
        <family val="2"/>
      </rPr>
      <t xml:space="preserve"> Bonaparte, 1840</t>
    </r>
  </si>
  <si>
    <r>
      <rPr>
        <i/>
        <sz val="10"/>
        <rFont val="Arial"/>
        <family val="2"/>
      </rPr>
      <t>Squatina squatina</t>
    </r>
    <r>
      <rPr>
        <sz val="10"/>
        <rFont val="Arial"/>
        <family val="2"/>
      </rPr>
      <t xml:space="preserve"> (Linnaeus, 1758)</t>
    </r>
  </si>
  <si>
    <t>Valencia hispanica</t>
  </si>
  <si>
    <r>
      <rPr>
        <i/>
        <sz val="10"/>
        <rFont val="Arial"/>
        <family val="2"/>
      </rPr>
      <t>Valencia hispanica</t>
    </r>
    <r>
      <rPr>
        <sz val="10"/>
        <rFont val="Arial"/>
        <family val="2"/>
      </rPr>
      <t xml:space="preserve"> (Valenciennes, 1846)</t>
    </r>
  </si>
  <si>
    <t>Samaruc</t>
  </si>
  <si>
    <t>Iberolacerta martinezricai</t>
  </si>
  <si>
    <r>
      <rPr>
        <i/>
        <sz val="10"/>
        <rFont val="Arial"/>
        <family val="2"/>
      </rPr>
      <t xml:space="preserve">Iberolacerta martinezricai </t>
    </r>
    <r>
      <rPr>
        <sz val="10"/>
        <rFont val="Arial"/>
        <family val="2"/>
      </rPr>
      <t>(Arribas, 1996)</t>
    </r>
  </si>
  <si>
    <t>Lagartija batueca</t>
  </si>
  <si>
    <t>LESRPE  (Real Decreto 139/2011)</t>
  </si>
  <si>
    <r>
      <rPr>
        <i/>
        <sz val="10"/>
        <rFont val="Arial"/>
        <family val="2"/>
      </rPr>
      <t xml:space="preserve">Algyroides hidalgoi </t>
    </r>
    <r>
      <rPr>
        <sz val="10"/>
        <rFont val="Arial"/>
        <family val="2"/>
      </rPr>
      <t>Boscá, 1916</t>
    </r>
  </si>
  <si>
    <t>Anguis fragilis</t>
  </si>
  <si>
    <r>
      <rPr>
        <i/>
        <sz val="10"/>
        <rFont val="Arial"/>
        <family val="2"/>
      </rPr>
      <t>Anguis fragilis</t>
    </r>
    <r>
      <rPr>
        <sz val="10"/>
        <rFont val="Arial"/>
        <family val="2"/>
      </rPr>
      <t xml:space="preserve"> Linnaeus, 1758</t>
    </r>
  </si>
  <si>
    <t>Lución</t>
  </si>
  <si>
    <r>
      <rPr>
        <i/>
        <sz val="10"/>
        <rFont val="Arial"/>
        <family val="2"/>
      </rPr>
      <t>Blanus cinereus</t>
    </r>
    <r>
      <rPr>
        <sz val="10"/>
        <rFont val="Arial"/>
        <family val="2"/>
      </rPr>
      <t xml:space="preserve"> (Vandelli, 1797)</t>
    </r>
  </si>
  <si>
    <t>Blanus tingitanus</t>
  </si>
  <si>
    <r>
      <rPr>
        <i/>
        <sz val="10"/>
        <rFont val="Arial"/>
        <family val="2"/>
      </rPr>
      <t>Blanus tingitanus</t>
    </r>
    <r>
      <rPr>
        <sz val="10"/>
        <rFont val="Arial"/>
        <family val="2"/>
      </rPr>
      <t xml:space="preserve"> Busack, 1988</t>
    </r>
  </si>
  <si>
    <t>Culebrilla ciega de Tánger</t>
  </si>
  <si>
    <t>Caretta caretta</t>
  </si>
  <si>
    <r>
      <rPr>
        <i/>
        <sz val="10"/>
        <rFont val="Arial"/>
        <family val="2"/>
      </rPr>
      <t>Caretta caretta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</si>
  <si>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Chalcides bedriagai</t>
    </r>
    <r>
      <rPr>
        <sz val="10"/>
        <rFont val="Arial"/>
        <family val="2"/>
      </rPr>
      <t xml:space="preserve"> (Boscá, 1880)</t>
    </r>
  </si>
  <si>
    <t>Chalcides colosii</t>
  </si>
  <si>
    <r>
      <rPr>
        <i/>
        <sz val="10"/>
        <rFont val="Arial"/>
        <family val="2"/>
      </rPr>
      <t>Chalcides colosii</t>
    </r>
    <r>
      <rPr>
        <sz val="10"/>
        <rFont val="Arial"/>
        <family val="2"/>
      </rPr>
      <t xml:space="preserve"> Lanza, 1957</t>
    </r>
  </si>
  <si>
    <t>Eslizón rifeño</t>
  </si>
  <si>
    <t>Chalcides pseudostriatus</t>
  </si>
  <si>
    <r>
      <rPr>
        <i/>
        <sz val="10"/>
        <rFont val="Arial"/>
        <family val="2"/>
      </rPr>
      <t>Chalcides pseudostriatus</t>
    </r>
    <r>
      <rPr>
        <sz val="10"/>
        <rFont val="Arial"/>
        <family val="2"/>
      </rPr>
      <t xml:space="preserve"> Caputo, 1993</t>
    </r>
  </si>
  <si>
    <t>Eslizón tridáctilo del Atlas</t>
  </si>
  <si>
    <t>Chalcides sexlineatus</t>
  </si>
  <si>
    <r>
      <rPr>
        <i/>
        <sz val="10"/>
        <rFont val="Arial"/>
        <family val="2"/>
      </rPr>
      <t>Chalcides sexlineatus</t>
    </r>
    <r>
      <rPr>
        <sz val="10"/>
        <rFont val="Arial"/>
        <family val="2"/>
      </rPr>
      <t xml:space="preserve"> Steindachner, 1891</t>
    </r>
  </si>
  <si>
    <t>Lisa grancanaria</t>
  </si>
  <si>
    <t>Chalcides simonyi</t>
  </si>
  <si>
    <r>
      <rPr>
        <i/>
        <sz val="10"/>
        <rFont val="Arial"/>
        <family val="2"/>
      </rPr>
      <t>Chalcides simonyi</t>
    </r>
    <r>
      <rPr>
        <sz val="10"/>
        <rFont val="Arial"/>
        <family val="2"/>
      </rPr>
      <t xml:space="preserve"> Steindachner, 1891</t>
    </r>
  </si>
  <si>
    <t>Lisneja</t>
  </si>
  <si>
    <t>Chalcides striatus (antes Chalcides chalcides)</t>
  </si>
  <si>
    <r>
      <rPr>
        <i/>
        <sz val="10"/>
        <rFont val="Arial"/>
        <family val="2"/>
      </rPr>
      <t>Chalcides striatus</t>
    </r>
    <r>
      <rPr>
        <sz val="10"/>
        <rFont val="Arial"/>
        <family val="2"/>
      </rPr>
      <t xml:space="preserve"> (Cuvier, 1829)</t>
    </r>
  </si>
  <si>
    <r>
      <rPr>
        <i/>
        <sz val="10"/>
        <rFont val="Arial"/>
        <family val="2"/>
      </rPr>
      <t>Acanthodactylus erythrurus</t>
    </r>
    <r>
      <rPr>
        <sz val="10"/>
        <rFont val="Arial"/>
        <family val="2"/>
      </rPr>
      <t xml:space="preserve"> (Schinz, 1833)</t>
    </r>
  </si>
  <si>
    <t>Chalcides viridanus</t>
  </si>
  <si>
    <r>
      <rPr>
        <i/>
        <sz val="10"/>
        <rFont val="Arial"/>
        <family val="2"/>
      </rPr>
      <t>Chalcides viridanus</t>
    </r>
    <r>
      <rPr>
        <sz val="10"/>
        <rFont val="Arial"/>
        <family val="2"/>
      </rPr>
      <t xml:space="preserve"> (Gravenhorst, 1851)</t>
    </r>
  </si>
  <si>
    <t>Lisa dorada</t>
  </si>
  <si>
    <r>
      <rPr>
        <i/>
        <sz val="10"/>
        <rFont val="Arial"/>
        <family val="2"/>
      </rPr>
      <t>Chamaeleo chamaeleon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</si>
  <si>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Chelonia mydas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</si>
  <si>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Coronella austriaca</t>
    </r>
    <r>
      <rPr>
        <sz val="10"/>
        <rFont val="Arial"/>
        <family val="2"/>
      </rPr>
      <t xml:space="preserve"> Laurenti, 1768</t>
    </r>
  </si>
  <si>
    <r>
      <rPr>
        <i/>
        <sz val="10"/>
        <rFont val="Arial"/>
        <family val="2"/>
      </rPr>
      <t>Coronella girondica</t>
    </r>
    <r>
      <rPr>
        <sz val="10"/>
        <rFont val="Arial"/>
        <family val="2"/>
      </rPr>
      <t xml:space="preserve"> (Daudin, 1803)</t>
    </r>
  </si>
  <si>
    <r>
      <rPr>
        <i/>
        <sz val="10"/>
        <rFont val="Arial"/>
        <family val="2"/>
      </rPr>
      <t>Dermochelys coriacea</t>
    </r>
    <r>
      <rPr>
        <sz val="10"/>
        <rFont val="Arial"/>
        <family val="2"/>
      </rPr>
      <t xml:space="preserve"> (Vandelli, 1761) </t>
    </r>
  </si>
  <si>
    <r>
      <rPr>
        <i/>
        <sz val="10"/>
        <rFont val="Arial"/>
        <family val="2"/>
      </rPr>
      <t>Emys orbicularis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</si>
  <si>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Eretmochelys imbricata</t>
    </r>
    <r>
      <rPr>
        <sz val="10"/>
        <rFont val="Arial"/>
        <family val="2"/>
      </rPr>
      <t xml:space="preserve"> (Linnaeus, 1766)</t>
    </r>
  </si>
  <si>
    <t>Gallotia atlantica</t>
  </si>
  <si>
    <r>
      <rPr>
        <i/>
        <sz val="10"/>
        <rFont val="Arial"/>
        <family val="2"/>
      </rPr>
      <t>Gallotia atlantica</t>
    </r>
    <r>
      <rPr>
        <sz val="10"/>
        <rFont val="Arial"/>
        <family val="2"/>
      </rPr>
      <t xml:space="preserve"> (Peters &amp; Doria, 1882)</t>
    </r>
  </si>
  <si>
    <t xml:space="preserve">Lagarto atlántico </t>
  </si>
  <si>
    <t>Gallotia gomerana</t>
  </si>
  <si>
    <r>
      <rPr>
        <i/>
        <sz val="10"/>
        <rFont val="Arial"/>
        <family val="2"/>
      </rPr>
      <t>Gallotia bravoana</t>
    </r>
    <r>
      <rPr>
        <sz val="10"/>
        <rFont val="Arial"/>
        <family val="2"/>
      </rPr>
      <t xml:space="preserve"> Hutterer, 1985</t>
    </r>
  </si>
  <si>
    <t>Lagarto gigante de La Gomera</t>
  </si>
  <si>
    <t>Gallotia galloti insulanagae</t>
  </si>
  <si>
    <r>
      <rPr>
        <i/>
        <sz val="10"/>
        <rFont val="Arial"/>
        <family val="2"/>
      </rPr>
      <t>Gallotia galloti insulanagae</t>
    </r>
    <r>
      <rPr>
        <sz val="10"/>
        <rFont val="Arial"/>
        <family val="2"/>
      </rPr>
      <t xml:space="preserve"> Martin 1985</t>
    </r>
  </si>
  <si>
    <t>Lagarto tizón</t>
  </si>
  <si>
    <t>Gallotia intermedia</t>
  </si>
  <si>
    <r>
      <rPr>
        <i/>
        <sz val="10"/>
        <rFont val="Arial"/>
        <family val="2"/>
      </rPr>
      <t>Gallotia intermedia</t>
    </r>
    <r>
      <rPr>
        <sz val="10"/>
        <rFont val="Arial"/>
        <family val="2"/>
      </rPr>
      <t xml:space="preserve"> Hernández, Nogales &amp; Martín, 2000</t>
    </r>
  </si>
  <si>
    <t>Lagarto gigante de Tenerife</t>
  </si>
  <si>
    <t>Gallotia simonyi</t>
  </si>
  <si>
    <r>
      <rPr>
        <i/>
        <sz val="10"/>
        <rFont val="Arial"/>
        <family val="2"/>
      </rPr>
      <t>Gallotia simonyi</t>
    </r>
    <r>
      <rPr>
        <sz val="10"/>
        <rFont val="Arial"/>
        <family val="2"/>
      </rPr>
      <t xml:space="preserve"> (Steindachner, 1889)</t>
    </r>
  </si>
  <si>
    <t>Lagarto gigante de El Hierro</t>
  </si>
  <si>
    <t>Gallotia stehlini</t>
  </si>
  <si>
    <r>
      <rPr>
        <i/>
        <sz val="10"/>
        <rFont val="Arial"/>
        <family val="2"/>
      </rPr>
      <t>Gallotia stehlini</t>
    </r>
    <r>
      <rPr>
        <sz val="10"/>
        <rFont val="Arial"/>
        <family val="2"/>
      </rPr>
      <t xml:space="preserve"> (Schenkel, 1901)</t>
    </r>
  </si>
  <si>
    <t>Lagarto gigante de Gran Canaria</t>
  </si>
  <si>
    <r>
      <rPr>
        <i/>
        <sz val="10"/>
        <rFont val="Arial"/>
        <family val="2"/>
      </rPr>
      <t>Hemidactylus turcicus</t>
    </r>
    <r>
      <rPr>
        <sz val="10"/>
        <rFont val="Arial"/>
        <family val="2"/>
      </rPr>
      <t xml:space="preserve"> (Linnaeus, 1758)</t>
    </r>
  </si>
  <si>
    <t>Hemorrhois hippocrepis (antes Coluber hippocrepis)</t>
  </si>
  <si>
    <r>
      <rPr>
        <i/>
        <sz val="10"/>
        <rFont val="Arial"/>
        <family val="2"/>
      </rPr>
      <t>Hemorrhois hippocrepis</t>
    </r>
    <r>
      <rPr>
        <sz val="10"/>
        <rFont val="Arial"/>
        <family val="2"/>
      </rPr>
      <t xml:space="preserve"> (Linnaeus, 1758)</t>
    </r>
  </si>
  <si>
    <t>Hierophis viridiflavus (antes Coluber viridiflavus)</t>
  </si>
  <si>
    <r>
      <rPr>
        <i/>
        <sz val="10"/>
        <rFont val="Arial"/>
        <family val="2"/>
      </rPr>
      <t>Hierophis viridiflavus</t>
    </r>
    <r>
      <rPr>
        <sz val="10"/>
        <rFont val="Arial"/>
        <family val="2"/>
      </rPr>
      <t xml:space="preserve"> (Lacépède, 1789)</t>
    </r>
  </si>
  <si>
    <t>Culebra verdiamarilla</t>
  </si>
  <si>
    <t>Iberolacerta aranica (antes Lacerta aranica)</t>
  </si>
  <si>
    <r>
      <rPr>
        <i/>
        <sz val="10"/>
        <rFont val="Arial"/>
        <family val="2"/>
      </rPr>
      <t>Iberolacerta aranica</t>
    </r>
    <r>
      <rPr>
        <sz val="10"/>
        <rFont val="Arial"/>
        <family val="2"/>
      </rPr>
      <t xml:space="preserve"> (Arribas, 1993)</t>
    </r>
  </si>
  <si>
    <t>Lagartija aranesa</t>
  </si>
  <si>
    <t>Iberolacerta aurelioi (antes Lacerta aurelioi)</t>
  </si>
  <si>
    <r>
      <rPr>
        <i/>
        <sz val="10"/>
        <rFont val="Arial"/>
        <family val="2"/>
      </rPr>
      <t>Iberolacerta aurelioi</t>
    </r>
    <r>
      <rPr>
        <sz val="10"/>
        <rFont val="Arial"/>
        <family val="2"/>
      </rPr>
      <t xml:space="preserve"> (Arribas, 1994)</t>
    </r>
  </si>
  <si>
    <t>Lagartija pallaresa</t>
  </si>
  <si>
    <t>Iberolacerta bonnali (antes Lacerta bonnali)</t>
  </si>
  <si>
    <r>
      <rPr>
        <i/>
        <sz val="10"/>
        <rFont val="Arial"/>
        <family val="2"/>
      </rPr>
      <t>Iberolacerta bonnali</t>
    </r>
    <r>
      <rPr>
        <sz val="10"/>
        <rFont val="Arial"/>
        <family val="2"/>
      </rPr>
      <t xml:space="preserve"> (Lantz, 1927)</t>
    </r>
  </si>
  <si>
    <t>Lagartija pirenaica</t>
  </si>
  <si>
    <t>Iberolacerta cyreni</t>
  </si>
  <si>
    <r>
      <rPr>
        <i/>
        <sz val="10"/>
        <rFont val="Arial"/>
        <family val="2"/>
      </rPr>
      <t>Iberolacerta cyreni</t>
    </r>
    <r>
      <rPr>
        <sz val="10"/>
        <rFont val="Arial"/>
        <family val="2"/>
      </rPr>
      <t xml:space="preserve"> (Müller &amp; Hellmich, 1937)</t>
    </r>
  </si>
  <si>
    <t>Lagartija carpetana</t>
  </si>
  <si>
    <t>Iberolacerta galani (antes incluida en Iberolacerta monticola)</t>
  </si>
  <si>
    <r>
      <rPr>
        <i/>
        <sz val="10"/>
        <rFont val="Arial"/>
        <family val="2"/>
      </rPr>
      <t>Iberolacerta galani</t>
    </r>
    <r>
      <rPr>
        <sz val="10"/>
        <rFont val="Arial"/>
        <family val="2"/>
      </rPr>
      <t xml:space="preserve"> Arribas, Carranza &amp; Odierna, 2006</t>
    </r>
  </si>
  <si>
    <t>Lagartija leonesa</t>
  </si>
  <si>
    <r>
      <t>LESRPE incluida como</t>
    </r>
    <r>
      <rPr>
        <i/>
        <sz val="10"/>
        <rFont val="Arial"/>
        <family val="2"/>
      </rPr>
      <t xml:space="preserve"> Iberolacerta monticola</t>
    </r>
    <r>
      <rPr>
        <sz val="10"/>
        <rFont val="Arial"/>
        <family val="2"/>
      </rPr>
      <t xml:space="preserve"> (Real Decreto 139/2011)</t>
    </r>
  </si>
  <si>
    <t>Iberolacerta monticola (antes Lacerta monticola)</t>
  </si>
  <si>
    <r>
      <t xml:space="preserve">Iberolacerta monticola </t>
    </r>
    <r>
      <rPr>
        <sz val="10"/>
        <rFont val="Arial"/>
        <family val="2"/>
      </rPr>
      <t>(Boulenger, 1905)</t>
    </r>
  </si>
  <si>
    <t>Lagartija serrana</t>
  </si>
  <si>
    <t>Lacerta agilis</t>
  </si>
  <si>
    <r>
      <rPr>
        <i/>
        <sz val="10"/>
        <rFont val="Arial"/>
        <family val="2"/>
      </rPr>
      <t>Lacerta agilis</t>
    </r>
    <r>
      <rPr>
        <sz val="10"/>
        <rFont val="Arial"/>
        <family val="2"/>
      </rPr>
      <t xml:space="preserve"> (Linnaeus, 1758)</t>
    </r>
  </si>
  <si>
    <t>Lagarto ágil</t>
  </si>
  <si>
    <t>Lacerta bilineata (=Lacerta viridis bilineata)</t>
  </si>
  <si>
    <r>
      <rPr>
        <i/>
        <sz val="10"/>
        <rFont val="Arial"/>
        <family val="2"/>
      </rPr>
      <t>Lacerta bilineata</t>
    </r>
    <r>
      <rPr>
        <sz val="10"/>
        <rFont val="Arial"/>
        <family val="2"/>
      </rPr>
      <t xml:space="preserve"> (Daudin, 1802)</t>
    </r>
  </si>
  <si>
    <t>Lagarto verde</t>
  </si>
  <si>
    <r>
      <rPr>
        <i/>
        <sz val="10"/>
        <rFont val="Arial"/>
        <family val="2"/>
      </rPr>
      <t>Lacerta schreiberi</t>
    </r>
    <r>
      <rPr>
        <sz val="10"/>
        <rFont val="Arial"/>
        <family val="2"/>
      </rPr>
      <t xml:space="preserve"> Bedriaga, 1878</t>
    </r>
  </si>
  <si>
    <t>Lepidochelys kempii</t>
  </si>
  <si>
    <r>
      <rPr>
        <i/>
        <sz val="10"/>
        <rFont val="Arial"/>
        <family val="2"/>
      </rPr>
      <t>Lepidochelys kempii</t>
    </r>
    <r>
      <rPr>
        <sz val="10"/>
        <rFont val="Arial"/>
        <family val="2"/>
      </rPr>
      <t xml:space="preserve"> (Garman, 1880)</t>
    </r>
  </si>
  <si>
    <t>Tortuga golfina</t>
  </si>
  <si>
    <t>Lepidochelys olivacea</t>
  </si>
  <si>
    <r>
      <rPr>
        <i/>
        <sz val="10"/>
        <rFont val="Arial"/>
        <family val="2"/>
      </rPr>
      <t>Lepidochelys olivacea</t>
    </r>
    <r>
      <rPr>
        <sz val="10"/>
        <rFont val="Arial"/>
        <family val="2"/>
      </rPr>
      <t xml:space="preserve"> (Eschscholtz, 1829)</t>
    </r>
  </si>
  <si>
    <t>Tortuga olivácea</t>
  </si>
  <si>
    <t>Macroprotodon brevis (antes M. cucullatus)</t>
  </si>
  <si>
    <r>
      <rPr>
        <i/>
        <sz val="10"/>
        <rFont val="Arial"/>
        <family val="2"/>
      </rPr>
      <t>Macroprotodon brevis</t>
    </r>
    <r>
      <rPr>
        <sz val="10"/>
        <rFont val="Arial"/>
        <family val="2"/>
      </rPr>
      <t xml:space="preserve"> (Günther, 1862)</t>
    </r>
  </si>
  <si>
    <t>Macroprotodon mauritanicus (antes M. cucullatus)</t>
  </si>
  <si>
    <r>
      <rPr>
        <i/>
        <sz val="10"/>
        <rFont val="Arial"/>
        <family val="2"/>
      </rPr>
      <t>Macroprotodon mauritanicus</t>
    </r>
    <r>
      <rPr>
        <sz val="10"/>
        <rFont val="Arial"/>
        <family val="2"/>
      </rPr>
      <t xml:space="preserve"> Guichenot, 1850</t>
    </r>
  </si>
  <si>
    <t>Culebra de cogulla oriental</t>
  </si>
  <si>
    <r>
      <rPr>
        <i/>
        <sz val="10"/>
        <rFont val="Arial"/>
        <family val="2"/>
      </rPr>
      <t>Mauremys leprosa</t>
    </r>
    <r>
      <rPr>
        <sz val="10"/>
        <rFont val="Arial"/>
        <family val="2"/>
      </rPr>
      <t xml:space="preserve"> (Schweigger, 1812)</t>
    </r>
  </si>
  <si>
    <r>
      <rPr>
        <i/>
        <sz val="10"/>
        <rFont val="Arial"/>
        <family val="2"/>
      </rPr>
      <t>Natrix maura</t>
    </r>
    <r>
      <rPr>
        <sz val="10"/>
        <rFont val="Arial"/>
        <family val="2"/>
      </rPr>
      <t xml:space="preserve"> (Linnaeus, 1758)</t>
    </r>
  </si>
  <si>
    <t>Península, Ceuta y Melilla</t>
  </si>
  <si>
    <r>
      <rPr>
        <i/>
        <sz val="10"/>
        <rFont val="Arial"/>
        <family val="2"/>
      </rPr>
      <t xml:space="preserve">Natrix helvetica </t>
    </r>
    <r>
      <rPr>
        <sz val="10"/>
        <rFont val="Arial"/>
        <family val="2"/>
      </rPr>
      <t>(Lacépède, 1789)</t>
    </r>
  </si>
  <si>
    <t>Podarcis lilfordi</t>
  </si>
  <si>
    <r>
      <rPr>
        <i/>
        <sz val="10"/>
        <rFont val="Arial"/>
        <family val="2"/>
      </rPr>
      <t>Podarcis lilfordi</t>
    </r>
    <r>
      <rPr>
        <sz val="10"/>
        <rFont val="Arial"/>
        <family val="2"/>
      </rPr>
      <t xml:space="preserve"> (Günther, 1874)</t>
    </r>
  </si>
  <si>
    <t>Lagartija balear</t>
  </si>
  <si>
    <t>Podarcis muralis</t>
  </si>
  <si>
    <r>
      <rPr>
        <i/>
        <sz val="10"/>
        <rFont val="Arial"/>
        <family val="2"/>
      </rPr>
      <t>Podarcis muralis</t>
    </r>
    <r>
      <rPr>
        <sz val="10"/>
        <rFont val="Arial"/>
        <family val="2"/>
      </rPr>
      <t xml:space="preserve"> (Laurenti, 1768)</t>
    </r>
  </si>
  <si>
    <t>Lagartija roquera</t>
  </si>
  <si>
    <t>Podarcis pityusensis</t>
  </si>
  <si>
    <r>
      <rPr>
        <i/>
        <sz val="10"/>
        <rFont val="Arial"/>
        <family val="2"/>
      </rPr>
      <t>Podarcis pityusensis</t>
    </r>
    <r>
      <rPr>
        <sz val="10"/>
        <rFont val="Arial"/>
        <family val="2"/>
      </rPr>
      <t xml:space="preserve"> (Boscá, 1883)</t>
    </r>
  </si>
  <si>
    <t>Lagartija de las Pitiusas</t>
  </si>
  <si>
    <t>Podarcis sicula</t>
  </si>
  <si>
    <t>Podarcis siculus (Rafinesque, 1810)</t>
  </si>
  <si>
    <t>Lagartija italiana</t>
  </si>
  <si>
    <t>Menorca</t>
  </si>
  <si>
    <t>Podarcis vaucheri (antes Podarcis hispanica)</t>
  </si>
  <si>
    <r>
      <rPr>
        <i/>
        <sz val="10"/>
        <rFont val="Arial"/>
        <family val="2"/>
      </rPr>
      <t>Podarcis vaucheri</t>
    </r>
    <r>
      <rPr>
        <sz val="10"/>
        <rFont val="Arial"/>
        <family val="2"/>
      </rPr>
      <t xml:space="preserve"> (Boulenger, 1905)</t>
    </r>
  </si>
  <si>
    <r>
      <rPr>
        <i/>
        <sz val="10"/>
        <rFont val="Arial"/>
        <family val="2"/>
      </rPr>
      <t>Psammodromus algirus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</si>
  <si>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Psammodromus hispanicus</t>
    </r>
    <r>
      <rPr>
        <sz val="10"/>
        <rFont val="Arial"/>
        <family val="2"/>
      </rPr>
      <t xml:space="preserve"> Fitzinger, 1826</t>
    </r>
  </si>
  <si>
    <t>Rhinechis scalaris (antes Elaphe scalaris)</t>
  </si>
  <si>
    <r>
      <rPr>
        <i/>
        <sz val="10"/>
        <rFont val="Arial"/>
        <family val="2"/>
      </rPr>
      <t>Zamenis scalaris</t>
    </r>
    <r>
      <rPr>
        <sz val="10"/>
        <rFont val="Arial"/>
        <family val="2"/>
      </rPr>
      <t xml:space="preserve"> (Schinz, 1822)</t>
    </r>
  </si>
  <si>
    <t>Tarentola angustimentalis</t>
  </si>
  <si>
    <r>
      <rPr>
        <i/>
        <sz val="10"/>
        <rFont val="Arial"/>
        <family val="2"/>
      </rPr>
      <t>Tarentola angustimentalis</t>
    </r>
    <r>
      <rPr>
        <sz val="10"/>
        <rFont val="Arial"/>
        <family val="2"/>
      </rPr>
      <t xml:space="preserve"> Steindachner, 1891</t>
    </r>
  </si>
  <si>
    <t>Perenquén majorero</t>
  </si>
  <si>
    <t>Tarentola boettgeri</t>
  </si>
  <si>
    <r>
      <rPr>
        <i/>
        <sz val="10"/>
        <rFont val="Arial"/>
        <family val="2"/>
      </rPr>
      <t>Tarentola boettgeri</t>
    </r>
    <r>
      <rPr>
        <sz val="10"/>
        <rFont val="Arial"/>
        <family val="2"/>
      </rPr>
      <t xml:space="preserve"> Steindachner, 1891</t>
    </r>
  </si>
  <si>
    <t>Perenquén de Gran Canaria</t>
  </si>
  <si>
    <t>Tarentola delalandii</t>
  </si>
  <si>
    <r>
      <rPr>
        <i/>
        <sz val="10"/>
        <rFont val="Arial"/>
        <family val="2"/>
      </rPr>
      <t>Tarentola delalandii</t>
    </r>
    <r>
      <rPr>
        <sz val="10"/>
        <rFont val="Arial"/>
        <family val="2"/>
      </rPr>
      <t xml:space="preserve"> (Duméril &amp; Bibron, 1836)</t>
    </r>
  </si>
  <si>
    <t>Perenquén común</t>
  </si>
  <si>
    <t>Tarentola gomerensis</t>
  </si>
  <si>
    <r>
      <rPr>
        <i/>
        <sz val="10"/>
        <rFont val="Arial"/>
        <family val="2"/>
      </rPr>
      <t>Tarentola gomerensis</t>
    </r>
    <r>
      <rPr>
        <sz val="10"/>
        <rFont val="Arial"/>
        <family val="2"/>
      </rPr>
      <t xml:space="preserve"> Joger &amp; Bischoff, 1983</t>
    </r>
  </si>
  <si>
    <t>Perenquén gomero ó Pracan</t>
  </si>
  <si>
    <r>
      <rPr>
        <i/>
        <sz val="10"/>
        <rFont val="Arial"/>
        <family val="2"/>
      </rPr>
      <t>Tarentola mauritanica</t>
    </r>
    <r>
      <rPr>
        <sz val="10"/>
        <rFont val="Arial"/>
        <family val="2"/>
      </rPr>
      <t xml:space="preserve"> (Linnaeus, 1758)</t>
    </r>
  </si>
  <si>
    <r>
      <rPr>
        <i/>
        <sz val="10"/>
        <rFont val="Arial"/>
        <family val="2"/>
      </rPr>
      <t>Testudo graeca</t>
    </r>
    <r>
      <rPr>
        <sz val="10"/>
        <rFont val="Arial"/>
        <family val="2"/>
      </rPr>
      <t xml:space="preserve"> Linnaeus, 1758</t>
    </r>
  </si>
  <si>
    <t>Testudo hermanni</t>
  </si>
  <si>
    <r>
      <rPr>
        <i/>
        <sz val="10"/>
        <rFont val="Arial"/>
        <family val="2"/>
      </rPr>
      <t>Testudo hermanni</t>
    </r>
    <r>
      <rPr>
        <sz val="10"/>
        <rFont val="Arial"/>
        <family val="2"/>
      </rPr>
      <t xml:space="preserve"> (Gmelin, 1789)</t>
    </r>
  </si>
  <si>
    <t>Tortuga mediterránea</t>
  </si>
  <si>
    <t>Timon lepidus (antes Lacerta lepida)</t>
  </si>
  <si>
    <r>
      <rPr>
        <i/>
        <sz val="10"/>
        <rFont val="Arial"/>
        <family val="2"/>
      </rPr>
      <t>Timon lepidus</t>
    </r>
    <r>
      <rPr>
        <sz val="10"/>
        <rFont val="Arial"/>
        <family val="2"/>
      </rPr>
      <t xml:space="preserve"> (Daudin, 1802)</t>
    </r>
  </si>
  <si>
    <t>Timon tangitanus (antes Lacerta tangitana)</t>
  </si>
  <si>
    <r>
      <rPr>
        <i/>
        <sz val="10"/>
        <rFont val="Arial"/>
        <family val="2"/>
      </rPr>
      <t>Timon tangitanus</t>
    </r>
    <r>
      <rPr>
        <sz val="10"/>
        <rFont val="Arial"/>
        <family val="2"/>
      </rPr>
      <t xml:space="preserve"> (Boulenger, 1887)</t>
    </r>
  </si>
  <si>
    <t>Lagarto ocelado del Atlas</t>
  </si>
  <si>
    <t>Trogonophis wiegmanni elegans</t>
  </si>
  <si>
    <r>
      <rPr>
        <i/>
        <sz val="10"/>
        <rFont val="Arial"/>
        <family val="2"/>
      </rPr>
      <t>Trogonophis wiegmanni</t>
    </r>
    <r>
      <rPr>
        <sz val="10"/>
        <rFont val="Arial"/>
        <family val="2"/>
      </rPr>
      <t xml:space="preserve"> Kaup, 1830</t>
    </r>
  </si>
  <si>
    <t>Culebrilla mora</t>
  </si>
  <si>
    <r>
      <rPr>
        <i/>
        <sz val="10"/>
        <rFont val="Arial"/>
        <family val="2"/>
      </rPr>
      <t>Vipera latastei</t>
    </r>
    <r>
      <rPr>
        <sz val="10"/>
        <rFont val="Arial"/>
        <family val="2"/>
      </rPr>
      <t xml:space="preserve"> Boscá, 1878</t>
    </r>
  </si>
  <si>
    <t>Zamenis longissimus (antes Elaphe longissima)</t>
  </si>
  <si>
    <r>
      <rPr>
        <i/>
        <sz val="10"/>
        <rFont val="Arial"/>
        <family val="2"/>
      </rPr>
      <t>Zamenis longissimus</t>
    </r>
    <r>
      <rPr>
        <sz val="10"/>
        <rFont val="Arial"/>
        <family val="2"/>
      </rPr>
      <t xml:space="preserve"> (Laurenti, 1768)</t>
    </r>
  </si>
  <si>
    <t>Culebra de Esculapio</t>
  </si>
  <si>
    <t>Zootoca vivipara</t>
  </si>
  <si>
    <r>
      <rPr>
        <i/>
        <sz val="10"/>
        <rFont val="Arial"/>
        <family val="2"/>
      </rPr>
      <t>Zootoca vivipara</t>
    </r>
    <r>
      <rPr>
        <sz val="10"/>
        <rFont val="Arial"/>
        <family val="2"/>
      </rPr>
      <t xml:space="preserve"> (Jacquin, 1787)</t>
    </r>
  </si>
  <si>
    <t>Lagartija de turbera</t>
  </si>
  <si>
    <t>[1] Las comunidades autónomas, o en su caso, la Administración General del Estado podrán reglamentar las operaciones de anclaje de embarcaciones u otras similares.</t>
  </si>
  <si>
    <r>
      <rPr>
        <i/>
        <sz val="10"/>
        <rFont val="Arial"/>
        <family val="2"/>
      </rPr>
      <t>Ericaria selaginoides</t>
    </r>
    <r>
      <rPr>
        <sz val="10"/>
        <rFont val="Arial"/>
        <family val="2"/>
      </rPr>
      <t> (Linnaeus) Molinari &amp; Guiry</t>
    </r>
  </si>
  <si>
    <r>
      <rPr>
        <i/>
        <sz val="10"/>
        <rFont val="Arial"/>
        <family val="2"/>
      </rPr>
      <t>Gongolaria algeriensis</t>
    </r>
    <r>
      <rPr>
        <sz val="10"/>
        <rFont val="Arial"/>
        <family val="2"/>
      </rPr>
      <t> (Feldmann) Molinari &amp; Guiry 2020</t>
    </r>
  </si>
  <si>
    <r>
      <rPr>
        <i/>
        <sz val="10"/>
        <rFont val="Arial"/>
        <family val="2"/>
      </rPr>
      <t>Gongolaria baccata</t>
    </r>
    <r>
      <rPr>
        <sz val="10"/>
        <rFont val="Arial"/>
        <family val="2"/>
      </rPr>
      <t> (S.G.Gmelin) Molinari &amp; Guiry 2020</t>
    </r>
  </si>
  <si>
    <r>
      <rPr>
        <i/>
        <sz val="10"/>
        <rFont val="Arial"/>
        <family val="2"/>
      </rPr>
      <t>Gongolaria barbata</t>
    </r>
    <r>
      <rPr>
        <sz val="10"/>
        <rFont val="Arial"/>
        <family val="2"/>
      </rPr>
      <t> (Stackhouse) Kuntze 1891</t>
    </r>
  </si>
  <si>
    <r>
      <rPr>
        <i/>
        <sz val="10"/>
        <rFont val="Arial"/>
        <family val="2"/>
      </rPr>
      <t>Ericaria brachycarpa</t>
    </r>
    <r>
      <rPr>
        <sz val="10"/>
        <rFont val="Arial"/>
        <family val="2"/>
      </rPr>
      <t xml:space="preserve"> (J.Agardh) Molinari &amp; Guiry 2020</t>
    </r>
  </si>
  <si>
    <r>
      <rPr>
        <i/>
        <sz val="10"/>
        <rFont val="Arial"/>
        <family val="2"/>
      </rPr>
      <t>Ericaria crinita</t>
    </r>
    <r>
      <rPr>
        <sz val="10"/>
        <rFont val="Arial"/>
        <family val="2"/>
      </rPr>
      <t xml:space="preserve"> (Duby) Molinari &amp; Guiry 2020</t>
    </r>
  </si>
  <si>
    <r>
      <rPr>
        <i/>
        <sz val="10"/>
        <rFont val="Arial"/>
        <family val="2"/>
      </rPr>
      <t>Gongolaria elegans</t>
    </r>
    <r>
      <rPr>
        <sz val="10"/>
        <rFont val="Arial"/>
        <family val="2"/>
      </rPr>
      <t> (Sauvageau) Molinari &amp; Guiry 2020</t>
    </r>
  </si>
  <si>
    <r>
      <rPr>
        <i/>
        <sz val="10"/>
        <rFont val="Arial"/>
        <family val="2"/>
      </rPr>
      <t>Cystoseira foeniculacea</t>
    </r>
    <r>
      <rPr>
        <sz val="10"/>
        <rFont val="Arial"/>
        <family val="2"/>
      </rPr>
      <t xml:space="preserve"> (Linnaeus) Greville</t>
    </r>
  </si>
  <si>
    <t>(2)Todas las especies del género Cystoseira, salvo Cystoseira compressa</t>
  </si>
  <si>
    <r>
      <rPr>
        <i/>
        <sz val="10"/>
        <rFont val="Arial"/>
        <family val="2"/>
      </rPr>
      <t>Ericaria funkii</t>
    </r>
    <r>
      <rPr>
        <sz val="10"/>
        <rFont val="Arial"/>
        <family val="2"/>
      </rPr>
      <t xml:space="preserve"> (Gerloff &amp; Nizamuddin) Molinari &amp; Guiry 2020</t>
    </r>
  </si>
  <si>
    <r>
      <rPr>
        <i/>
        <sz val="10"/>
        <rFont val="Arial"/>
        <family val="2"/>
      </rPr>
      <t xml:space="preserve">Cystoseira humilis </t>
    </r>
    <r>
      <rPr>
        <sz val="10"/>
        <rFont val="Arial"/>
        <family val="2"/>
      </rPr>
      <t>Schousboe ex Kützing</t>
    </r>
  </si>
  <si>
    <r>
      <rPr>
        <i/>
        <sz val="10"/>
        <rFont val="Arial"/>
        <family val="2"/>
      </rPr>
      <t>Ericaria mediterranea</t>
    </r>
    <r>
      <rPr>
        <sz val="10"/>
        <rFont val="Arial"/>
        <family val="2"/>
      </rPr>
      <t xml:space="preserve"> (Sauvageau) Molinari &amp; Guiry 2020</t>
    </r>
  </si>
  <si>
    <r>
      <rPr>
        <i/>
        <sz val="10"/>
        <rFont val="Arial"/>
        <family val="2"/>
      </rPr>
      <t>Gongolaria nodicaulis</t>
    </r>
    <r>
      <rPr>
        <sz val="10"/>
        <rFont val="Arial"/>
        <family val="2"/>
      </rPr>
      <t> (Withering) Molinari &amp; Guiry 2020</t>
    </r>
  </si>
  <si>
    <r>
      <rPr>
        <i/>
        <sz val="10"/>
        <rFont val="Arial"/>
        <family val="2"/>
      </rPr>
      <t>Gongolaria sauvageauana</t>
    </r>
    <r>
      <rPr>
        <sz val="10"/>
        <rFont val="Arial"/>
        <family val="2"/>
      </rPr>
      <t> (Hamel) Molinari &amp; Guiry 2020</t>
    </r>
  </si>
  <si>
    <r>
      <rPr>
        <i/>
        <sz val="10"/>
        <rFont val="Arial"/>
        <family val="2"/>
      </rPr>
      <t>Gongolaria montagnei</t>
    </r>
    <r>
      <rPr>
        <sz val="10"/>
        <rFont val="Arial"/>
        <family val="2"/>
      </rPr>
      <t> (J.Agardh) Kuntze 1891</t>
    </r>
  </si>
  <si>
    <r>
      <rPr>
        <i/>
        <sz val="10"/>
        <rFont val="Arial"/>
        <family val="2"/>
      </rPr>
      <t>Gongolaria usneoides</t>
    </r>
    <r>
      <rPr>
        <sz val="10"/>
        <rFont val="Arial"/>
        <family val="2"/>
      </rPr>
      <t> (Linnaeus) Molinari &amp; Guiry 2020</t>
    </r>
  </si>
  <si>
    <r>
      <rPr>
        <i/>
        <sz val="10"/>
        <rFont val="Arial"/>
        <family val="2"/>
      </rPr>
      <t xml:space="preserve">Cystoseira wildpretti </t>
    </r>
    <r>
      <rPr>
        <sz val="10"/>
        <rFont val="Arial"/>
        <family val="2"/>
      </rPr>
      <t>Nizamuddin, 1995</t>
    </r>
  </si>
  <si>
    <r>
      <rPr>
        <i/>
        <sz val="10"/>
        <rFont val="Arial"/>
        <family val="2"/>
      </rPr>
      <t>Ericaria zosteroides</t>
    </r>
    <r>
      <rPr>
        <sz val="10"/>
        <rFont val="Arial"/>
        <family val="2"/>
      </rPr>
      <t xml:space="preserve"> (C.Agardh) Molinari &amp; Guiry 2020</t>
    </r>
  </si>
  <si>
    <r>
      <rPr>
        <i/>
        <sz val="10"/>
        <rFont val="Arial"/>
        <family val="2"/>
      </rPr>
      <t>Gongolaria mauritanica</t>
    </r>
    <r>
      <rPr>
        <sz val="10"/>
        <rFont val="Arial"/>
        <family val="2"/>
      </rPr>
      <t xml:space="preserve"> (Sauvageau) Molinari &amp; Guiry 2020</t>
    </r>
  </si>
  <si>
    <t>(3) Aplysina sp. incluyen todas las especies del género</t>
  </si>
  <si>
    <r>
      <rPr>
        <i/>
        <sz val="10"/>
        <rFont val="Arial"/>
        <family val="2"/>
      </rPr>
      <t>Aplysina cavernicola</t>
    </r>
    <r>
      <rPr>
        <sz val="10"/>
        <rFont val="Arial"/>
        <family val="2"/>
      </rPr>
      <t xml:space="preserve"> (Vacelet, 1959)</t>
    </r>
  </si>
  <si>
    <r>
      <rPr>
        <i/>
        <sz val="10"/>
        <rFont val="Arial"/>
        <family val="2"/>
      </rPr>
      <t>Aplysina aerophoba</t>
    </r>
    <r>
      <rPr>
        <sz val="10"/>
        <rFont val="Arial"/>
        <family val="2"/>
      </rPr>
      <t xml:space="preserve"> (Nardo, 1833)</t>
    </r>
  </si>
  <si>
    <r>
      <rPr>
        <i/>
        <sz val="10"/>
        <rFont val="Arial"/>
        <family val="2"/>
      </rPr>
      <t>Tethya aurantium</t>
    </r>
    <r>
      <rPr>
        <sz val="10"/>
        <rFont val="Arial"/>
        <family val="2"/>
      </rPr>
      <t xml:space="preserve"> (Pallas, 1766)</t>
    </r>
  </si>
  <si>
    <t>(4) Tethya sp. incluyen todas las especies del género</t>
  </si>
  <si>
    <r>
      <rPr>
        <i/>
        <sz val="10"/>
        <rFont val="Arial"/>
        <family val="2"/>
      </rPr>
      <t>Tethya citrina</t>
    </r>
    <r>
      <rPr>
        <sz val="10"/>
        <rFont val="Arial"/>
        <family val="2"/>
      </rPr>
      <t xml:space="preserve"> Sarà y Melone, 1965</t>
    </r>
  </si>
  <si>
    <r>
      <rPr>
        <i/>
        <sz val="10"/>
        <rFont val="Arial"/>
        <family val="2"/>
      </rPr>
      <t>Tethya irregularis</t>
    </r>
    <r>
      <rPr>
        <sz val="10"/>
        <rFont val="Arial"/>
        <family val="2"/>
      </rPr>
      <t xml:space="preserve"> Sarà &amp; Bavestrello, 1998</t>
    </r>
  </si>
  <si>
    <r>
      <rPr>
        <i/>
        <sz val="10"/>
        <rFont val="Arial"/>
        <family val="2"/>
      </rPr>
      <t xml:space="preserve">Sphyrna couardi </t>
    </r>
    <r>
      <rPr>
        <sz val="10"/>
        <rFont val="Arial"/>
        <family val="2"/>
      </rPr>
      <t>Cadenat, 1951</t>
    </r>
  </si>
  <si>
    <r>
      <rPr>
        <i/>
        <sz val="10"/>
        <rFont val="Arial"/>
        <family val="2"/>
      </rPr>
      <t>Sphyrna lewini</t>
    </r>
    <r>
      <rPr>
        <sz val="10"/>
        <rFont val="Arial"/>
        <family val="2"/>
      </rPr>
      <t xml:space="preserve"> (Griffith &amp; Smith, 1834)</t>
    </r>
  </si>
  <si>
    <t xml:space="preserve">(5) Se incluyen todas las especies de la Familia Sphyrnidae </t>
  </si>
  <si>
    <r>
      <rPr>
        <i/>
        <sz val="10"/>
        <rFont val="Arial"/>
        <family val="2"/>
      </rPr>
      <t>Sphyrna mokarran</t>
    </r>
    <r>
      <rPr>
        <sz val="10"/>
        <rFont val="Arial"/>
        <family val="2"/>
      </rPr>
      <t xml:space="preserve"> (Rüppell, 1837)</t>
    </r>
  </si>
  <si>
    <r>
      <rPr>
        <i/>
        <sz val="10"/>
        <rFont val="Arial"/>
        <family val="2"/>
      </rPr>
      <t>Sphyrna tudes</t>
    </r>
    <r>
      <rPr>
        <sz val="10"/>
        <rFont val="Arial"/>
        <family val="2"/>
      </rPr>
      <t xml:space="preserve"> (Valenciennes, 1822)</t>
    </r>
  </si>
  <si>
    <r>
      <rPr>
        <i/>
        <sz val="10"/>
        <rFont val="Arial"/>
        <family val="2"/>
      </rPr>
      <t>Sphyrna zygaena</t>
    </r>
    <r>
      <rPr>
        <sz val="10"/>
        <rFont val="Arial"/>
        <family val="2"/>
      </rPr>
      <t xml:space="preserve"> (Linnaeus, 1758)</t>
    </r>
  </si>
  <si>
    <t>(6) Se incluyen todas las especies de la Familia Alopiidae</t>
  </si>
  <si>
    <r>
      <rPr>
        <i/>
        <sz val="10"/>
        <rFont val="Arial"/>
        <family val="2"/>
      </rPr>
      <t>Alopias superciliosus</t>
    </r>
    <r>
      <rPr>
        <sz val="10"/>
        <rFont val="Arial"/>
        <family val="2"/>
      </rPr>
      <t xml:space="preserve"> Lowe, 1841</t>
    </r>
  </si>
  <si>
    <r>
      <rPr>
        <i/>
        <sz val="10"/>
        <rFont val="Arial"/>
        <family val="2"/>
      </rPr>
      <t>Alopias vulpinus</t>
    </r>
    <r>
      <rPr>
        <sz val="10"/>
        <rFont val="Arial"/>
        <family val="2"/>
      </rPr>
      <t xml:space="preserve"> (Bonnaterre, 1788)</t>
    </r>
  </si>
  <si>
    <t>Orden / Grupo</t>
  </si>
  <si>
    <t>Categoria de amenaza</t>
  </si>
  <si>
    <t>Orthoptera</t>
  </si>
  <si>
    <t>Saga pedo (Tettigonidae) Palles</t>
  </si>
  <si>
    <t>Podisma carpetana (Catantopidae) Bolivar</t>
  </si>
  <si>
    <t>Lepidoptera</t>
  </si>
  <si>
    <t>Parnassius apollo (Papilionidae) Linnaeus</t>
  </si>
  <si>
    <t>Dyctyoptera</t>
  </si>
  <si>
    <t>Apteromantis aptera De la Fuente</t>
  </si>
  <si>
    <t>Ephemeroptera</t>
  </si>
  <si>
    <t>Serratella hispanica (Ephemerelledae) Eaton</t>
  </si>
  <si>
    <t>Sensibles a la alteración de su hábitat</t>
  </si>
  <si>
    <t>Drunella paradinasi (Ephemerellidae) Tánago y Jalón</t>
  </si>
  <si>
    <t>Odonata</t>
  </si>
  <si>
    <t>Cocnagrion mercuriale (Caenogriidae) Charpentier</t>
  </si>
  <si>
    <t>Steropleurus obsoletus (Tettigonidae) Bolivar</t>
  </si>
  <si>
    <t>Dociostaurus crassiusculus (Acrididae) Pantel</t>
  </si>
  <si>
    <t>Dociostaurus hispanicos (Acrididae) Bolivar</t>
  </si>
  <si>
    <t>Arcyptera tornosi (Acrididae) Bolivar</t>
  </si>
  <si>
    <t>Sciobia lusitanica (Gryllidae) Rambur</t>
  </si>
  <si>
    <t>Plecoptera</t>
  </si>
  <si>
    <t>Leuctra madritensis (Leucitridae) Aubert</t>
  </si>
  <si>
    <t>Brachyptera arcuata (Taeniopterygidae) Klapálek</t>
  </si>
  <si>
    <t>Marthamea vitripennis (Perlidae) Burm</t>
  </si>
  <si>
    <t>Trichoptera</t>
  </si>
  <si>
    <t>Rhyacophila relicta (Rhyacophilidae) Macl</t>
  </si>
  <si>
    <t>Allogamus laureatus (Limnecophilidae) Navás</t>
  </si>
  <si>
    <t>Euphydryas desfontainii (Nymphalidae) Godart</t>
  </si>
  <si>
    <t>Iolana iolas (Lycaenidae) Ochsenheimer</t>
  </si>
  <si>
    <t>Plebejus pylaon (Lycaenidae) Fisher del Waldheim</t>
  </si>
  <si>
    <t>Plebicula nivescens (Lycaenidae) Keferstein</t>
  </si>
  <si>
    <t>Agrodiaetus fabressei (Lycaenidae) Oberthür</t>
  </si>
  <si>
    <t>Coscinia romeii (Artiidae) Sagarra</t>
  </si>
  <si>
    <t>Coleoptera</t>
  </si>
  <si>
    <t>Carabus ghiliani (Carabidae) La Ferté</t>
  </si>
  <si>
    <t>Nebria vuillefroyi (Carabidae) Chaudoir</t>
  </si>
  <si>
    <t>Leistus constrictus (Carabidae) Schaufuss</t>
  </si>
  <si>
    <t>Calathus vuillefroyi (Carabidae) Gautier</t>
  </si>
  <si>
    <t>Platyderus varians (Carabidae) Schaufuss</t>
  </si>
  <si>
    <t>Ocydromus carpetanum (Carabidae) Sharper</t>
  </si>
  <si>
    <t>Mimela rugatipennis (Rutelidae) Graells</t>
  </si>
  <si>
    <t>Iberodorcadion hispanicum (Cerambycidae) Mulsant</t>
  </si>
  <si>
    <t>Attactagenus zarateae (Curculionidae) García de Viedma</t>
  </si>
  <si>
    <t>Gonioctena leprieuri (Chrysomelidae) Pic, sensu Bechyné</t>
  </si>
  <si>
    <t>Ceratophyus martinezi (Geotrupidae) Lauffer</t>
  </si>
  <si>
    <t>Nymphalis antiopa (Nymphalidae) Linnaeus</t>
  </si>
  <si>
    <t>Vulnerables</t>
  </si>
  <si>
    <t>Euphydryas aurinia (Nymphalidae) Rottemburg</t>
  </si>
  <si>
    <t>Ocnogyna latreillei (Arctiidae) Godart</t>
  </si>
  <si>
    <t>Lucanus cervus (Lucanidae) Linnaeus</t>
  </si>
  <si>
    <t>Zerynthia rumina (Papiliomidae) Linnaeus</t>
  </si>
  <si>
    <t>De interés especial</t>
  </si>
  <si>
    <t>Graellsia isabelae (Saturniidae) Graells</t>
  </si>
  <si>
    <t>Saturnia pyri (Saturniidae) Denis et Schiffermüller</t>
  </si>
  <si>
    <t>Ocnogyna zoraida (Arctiidae) Graslin</t>
  </si>
  <si>
    <t>Calandino</t>
  </si>
  <si>
    <t>Tropidophoxinellus alburnoides Steindachner</t>
  </si>
  <si>
    <t>Anguila</t>
  </si>
  <si>
    <t>Anguilla anguilla Linnaeus</t>
  </si>
  <si>
    <t>Colmilleja o Lamprehuela</t>
  </si>
  <si>
    <t>Cobitis calderoni Steindachner</t>
  </si>
  <si>
    <t>Barbo comiza</t>
  </si>
  <si>
    <t>Barbus comiza Bacescu</t>
  </si>
  <si>
    <t>Triturus alpestris Wolterstorff</t>
  </si>
  <si>
    <t>Emys orbicularis Linnaeus</t>
  </si>
  <si>
    <t>Alimoche</t>
  </si>
  <si>
    <t>Neophron percnopterus Linnaeus</t>
  </si>
  <si>
    <t>Hieraaetus fasciatus Vieillot</t>
  </si>
  <si>
    <t>Aquila adalberti C.L. Brehm</t>
  </si>
  <si>
    <t>Ciconia nigra Linnaeus</t>
  </si>
  <si>
    <t>Aegypius monachus Linnaeus</t>
  </si>
  <si>
    <t>Falco naumanni Fleischer</t>
  </si>
  <si>
    <t>Ardea purpurea Linnaeus</t>
  </si>
  <si>
    <t>Aquila chrysaetos Linnaeus</t>
  </si>
  <si>
    <t>Avutarda</t>
  </si>
  <si>
    <t>Otis tarda Linnaeus</t>
  </si>
  <si>
    <t>Sisón</t>
  </si>
  <si>
    <t>Tetrax tetrax Linnaeus</t>
  </si>
  <si>
    <t>Aguilucho lagunero</t>
  </si>
  <si>
    <t>Circus aeruginosus Linnaeus</t>
  </si>
  <si>
    <t>Pterocles alchata Linnaeus</t>
  </si>
  <si>
    <t>Locustella luscinioides Savi</t>
  </si>
  <si>
    <t>Panurus biarmicus Linnaeus</t>
  </si>
  <si>
    <t>Ixobrychus minutus Linnaeus</t>
  </si>
  <si>
    <t>Martinete</t>
  </si>
  <si>
    <t>Nycticorax nycticorax Linnaeus</t>
  </si>
  <si>
    <t>Lince</t>
  </si>
  <si>
    <t>Lynx pardina Temminck</t>
  </si>
  <si>
    <t>Lutra lutra Linnaeus</t>
  </si>
  <si>
    <t>Desmán</t>
  </si>
  <si>
    <t>Galemys pyrenaicus Geoffroy</t>
  </si>
  <si>
    <t>Cigüeña común</t>
  </si>
  <si>
    <t>Ciconia ciconia Linnaeus</t>
  </si>
  <si>
    <t>Circus pygargus Linnaeus</t>
  </si>
  <si>
    <t>Halcón común</t>
  </si>
  <si>
    <t>Falco peregrinus Tunstall</t>
  </si>
  <si>
    <t>Coracias garrulus Linnaeus</t>
  </si>
  <si>
    <t>Bubo bubo Linnaeus</t>
  </si>
  <si>
    <t>Milvus milvus Linnaeus</t>
  </si>
  <si>
    <t>Rhinolophus hipposideros Bechstein</t>
  </si>
  <si>
    <t>Rhinolophus ferrum-equinum Schreber</t>
  </si>
  <si>
    <t>Murciélago mediterráneo de herradura</t>
  </si>
  <si>
    <t>Rhinolophus euryale Blasius</t>
  </si>
  <si>
    <t>Myotis myotis Borkhausen</t>
  </si>
  <si>
    <t>Orejudo meridional</t>
  </si>
  <si>
    <t>Plecotus austriacus Fischer</t>
  </si>
  <si>
    <t>Orejudo septentrional</t>
  </si>
  <si>
    <t>Plecotus auritus Linnaeus</t>
  </si>
  <si>
    <t>Microtus cabrerae Thomas</t>
  </si>
  <si>
    <t>Anfibios y reptiles</t>
  </si>
  <si>
    <t>Mauremys caspica Schweigger</t>
  </si>
  <si>
    <t>Coluber hippocrepis Linnaeus</t>
  </si>
  <si>
    <t>Rana de San Antón</t>
  </si>
  <si>
    <t>Hyla arborea Linnaeus</t>
  </si>
  <si>
    <t>Culebra de cogulla</t>
  </si>
  <si>
    <t>Macroprotodon cucullatus Geoffroy</t>
  </si>
  <si>
    <t>Lacerta monticola Boulenger</t>
  </si>
  <si>
    <t>Sapillo moteado</t>
  </si>
  <si>
    <t>Pelodytes punctatus Daudin</t>
  </si>
  <si>
    <t>Podiceps nigricollis C.L. Brehm</t>
  </si>
  <si>
    <t>Actitis hypoleucos Linnaeus</t>
  </si>
  <si>
    <t>Cigüeñuela</t>
  </si>
  <si>
    <t>Himantopus himantopus Linnaeus</t>
  </si>
  <si>
    <t>Alcaraván</t>
  </si>
  <si>
    <t>Burhinus oedicnemus Linnaeus</t>
  </si>
  <si>
    <t>Alcedo atthis Linnaeus</t>
  </si>
  <si>
    <t>Dryocopus martius Linnaeus</t>
  </si>
  <si>
    <t>Riparia riparia Linnaeus</t>
  </si>
  <si>
    <t>Luscinia svecica Linnaeus</t>
  </si>
  <si>
    <t>Egretta garzetta Linnaeus</t>
  </si>
  <si>
    <t>Anas strepera Linnaeus</t>
  </si>
  <si>
    <t>Pernis apivorus Linnaeus</t>
  </si>
  <si>
    <t>Elanio azul</t>
  </si>
  <si>
    <t>Elanus caeruleus Desfontaines</t>
  </si>
  <si>
    <t>Buitre común</t>
  </si>
  <si>
    <t>Gyps fulvus Hablizl</t>
  </si>
  <si>
    <t>Circaetus gallicus Gmelin</t>
  </si>
  <si>
    <t>Hieraaetus pennatus Gmelin</t>
  </si>
  <si>
    <t>Alcotán</t>
  </si>
  <si>
    <t>Falco subbuteo Linnaeus</t>
  </si>
  <si>
    <t>Lechuza campestre</t>
  </si>
  <si>
    <t>Asio flammeus Pontoppidan</t>
  </si>
  <si>
    <t>Circus cyaneus Linnaeus</t>
  </si>
  <si>
    <t>Pato colorado</t>
  </si>
  <si>
    <t>Netta rufina Pallas</t>
  </si>
  <si>
    <t>Rascón</t>
  </si>
  <si>
    <t>Rallus aquaticus Linnaeus</t>
  </si>
  <si>
    <t>Avefría</t>
  </si>
  <si>
    <t>Vanellus vanellus Linnaeus</t>
  </si>
  <si>
    <t>Tyto alba Scopoli</t>
  </si>
  <si>
    <t>Caprimulgus ruficollis Temminck</t>
  </si>
  <si>
    <t>Apus pallidus Shelley</t>
  </si>
  <si>
    <t>Jynx torquilla Linnaeus</t>
  </si>
  <si>
    <t>Dendrocopos minor Linnaeus</t>
  </si>
  <si>
    <t>Alondra de Dupont</t>
  </si>
  <si>
    <t>Chersophilus duponti Vieillot</t>
  </si>
  <si>
    <t>Calandria</t>
  </si>
  <si>
    <t>Melanocorypha calandra Linnaeus</t>
  </si>
  <si>
    <t>Cinclus cinclus Linnaeus</t>
  </si>
  <si>
    <t>Prunella collaris Scopoli</t>
  </si>
  <si>
    <t>Phoenicurus phoenicurus Linnaeus</t>
  </si>
  <si>
    <t>Saxicola rubetra Linnaeus</t>
  </si>
  <si>
    <t>Oenanthe leucura J.F. Gmelin</t>
  </si>
  <si>
    <t>Sylvia hortensis J.F. Gmelin</t>
  </si>
  <si>
    <t>Alcaudón real</t>
  </si>
  <si>
    <t>Lanius excubitor Linnaeus</t>
  </si>
  <si>
    <t>Pyrrhocorax pyrrhocorax Linnaeus</t>
  </si>
  <si>
    <t>Serinus citrinella Pallas</t>
  </si>
  <si>
    <t>Emberiza schoeniclus Linnaeus</t>
  </si>
  <si>
    <t>Topillo nival</t>
  </si>
  <si>
    <t>Microtus nivalis abulensis Martins</t>
  </si>
  <si>
    <t>Neomys anomalus Cabrera</t>
  </si>
  <si>
    <t>Gato montés</t>
  </si>
  <si>
    <t>Felis silvestris Schreber</t>
  </si>
  <si>
    <t>Triturus boscai Lataste</t>
  </si>
  <si>
    <t>Lacerta schreiberi Bedriaga</t>
  </si>
  <si>
    <t>Hohenackeria polyodon Cosson et Durieu</t>
  </si>
  <si>
    <t>Lycopodiella inundata C. Börner</t>
  </si>
  <si>
    <t>Narcissus pseudonarcissus confusus Linnaeus</t>
  </si>
  <si>
    <t>Polystichum lonchitis Roth</t>
  </si>
  <si>
    <t>Sapina</t>
  </si>
  <si>
    <t>Arthrocnemum machrostachyum (Delile) Ung.-Stern</t>
  </si>
  <si>
    <t>Jaguarzo amarillo</t>
  </si>
  <si>
    <t>Halimium commutatum Pau</t>
  </si>
  <si>
    <t>Toronjil silvestre</t>
  </si>
  <si>
    <t>Melittis melissophyllum Linnaeus</t>
  </si>
  <si>
    <t>Nébeda del Beltrán</t>
  </si>
  <si>
    <t>Nepeta beltranii Pau</t>
  </si>
  <si>
    <t>Peralillo, piruétano</t>
  </si>
  <si>
    <t>Pyrus bourgaeana Decne</t>
  </si>
  <si>
    <t>Jaramugo de Cavanilles</t>
  </si>
  <si>
    <t>Sisymbrium cavanillesianum Castrov. et Val. Berm.</t>
  </si>
  <si>
    <t>Acebo</t>
  </si>
  <si>
    <t>Ilex aquifolium Linnaeus</t>
  </si>
  <si>
    <t>Sabina albar</t>
  </si>
  <si>
    <t>Juniperus thurifera Linnaeus</t>
  </si>
  <si>
    <t>Tejo</t>
  </si>
  <si>
    <t>Taxus baccata Linnaeus</t>
  </si>
  <si>
    <t>Olmo de montaña</t>
  </si>
  <si>
    <t>Ulmus glabra Hudson</t>
  </si>
  <si>
    <t>Fresno común</t>
  </si>
  <si>
    <t>Fraxinus excelsior Linnaeus</t>
  </si>
  <si>
    <t>Azucena silvestre</t>
  </si>
  <si>
    <t>Lilium martagon Linnaeus</t>
  </si>
  <si>
    <t>Serbal</t>
  </si>
  <si>
    <t>Sorbus latifolia (Lam.) Pers.</t>
  </si>
  <si>
    <t>Sorbus torminalis (Linnaeus) Crantz.</t>
  </si>
  <si>
    <t>Nitella flexilis (Linnaeus) Agardh.</t>
  </si>
  <si>
    <t>Nitella mucronata (A. Braun) Miquel</t>
  </si>
  <si>
    <t>Nitella translucens (Pers.) Agardh.</t>
  </si>
  <si>
    <t>Riccia fluitans L. Emend. Lorbeer</t>
  </si>
  <si>
    <t>Isoetes histrix Bory</t>
  </si>
  <si>
    <t>Potamogeton perfoliatus Linnaeus</t>
  </si>
  <si>
    <t>Utricularia minor Linnaeus</t>
  </si>
  <si>
    <t>Carex furva Webb</t>
  </si>
  <si>
    <t>Carex umbrosa huetiana Host</t>
  </si>
  <si>
    <t>Clypeola eriocarpa Cav.</t>
  </si>
  <si>
    <t>Eriophorum latifolium Hoppe</t>
  </si>
  <si>
    <t>Hyacinthoides non-scripta (L.) Chov. et Rothm.</t>
  </si>
  <si>
    <t>Isoetes velatum A. Braun</t>
  </si>
  <si>
    <t>Juncus alpinoarticulatus auct non Chaix.</t>
  </si>
  <si>
    <t>Carpazo</t>
  </si>
  <si>
    <t>Cistus psilosepalus Sweet</t>
  </si>
  <si>
    <t>Echium flavum Desf.</t>
  </si>
  <si>
    <t>Laurel de San Antonio</t>
  </si>
  <si>
    <t>Epilobium angustifolium Linnaeus</t>
  </si>
  <si>
    <t>Euphorbia broteri Daveau</t>
  </si>
  <si>
    <t>Geum rivale Linnaeus</t>
  </si>
  <si>
    <t>Hypericum androsaemum Linnaeus</t>
  </si>
  <si>
    <t>Narcissus cantabricus DC</t>
  </si>
  <si>
    <t>Cerezo-aliso</t>
  </si>
  <si>
    <t>Prunus padus Linnaeus</t>
  </si>
  <si>
    <t>Ranunculus abnormis Cutanda et Willk</t>
  </si>
  <si>
    <t>Ranunculus nigrescens Freyn</t>
  </si>
  <si>
    <t>Secale montanum Guss</t>
  </si>
  <si>
    <t>Luzula caespitosa Gay</t>
  </si>
  <si>
    <t>Luzula sylvatica (Hudson) Gaudin</t>
  </si>
  <si>
    <t>Neottia nidus-avis (L.) L.C.M. Rich</t>
  </si>
  <si>
    <t>Paris quadrifolia Linnaeus</t>
  </si>
  <si>
    <t>Pedicularis comosa schizocalyx (Lange) Lainz</t>
  </si>
  <si>
    <t>Phyteuma spicatum Linnaeus</t>
  </si>
  <si>
    <t>Pinguicula grandiflora Lam.</t>
  </si>
  <si>
    <t>Platanthera bifolia (L.) L.C.M. Richard</t>
  </si>
  <si>
    <t>Pyrola rotundifolia Linnaeus</t>
  </si>
  <si>
    <t>Ranunculus valdesii Grau</t>
  </si>
  <si>
    <t>Scrophularia alpestris Gay ex Bentham</t>
  </si>
  <si>
    <t>Selaginella denticulata (L.) Link</t>
  </si>
  <si>
    <t>Senecio carpetanus Boiss. et Reuter</t>
  </si>
  <si>
    <t>Stachys alpina Linnaeus</t>
  </si>
  <si>
    <t>Utricularia australis R. Br.</t>
  </si>
  <si>
    <t>Guillomo</t>
  </si>
  <si>
    <t>Amelanchier ovalis Medicus</t>
  </si>
  <si>
    <t>Geranio de El Paular</t>
  </si>
  <si>
    <t>Erodium paularense Fdez. Gzlez. et Izco</t>
  </si>
  <si>
    <t>Azolla caroliniana Willd</t>
  </si>
  <si>
    <t>Callitriche truncata truncata Guss</t>
  </si>
  <si>
    <t>Juncus bulbosus Linnaeus</t>
  </si>
  <si>
    <t>Litorella uniflora (L.) Ascherson</t>
  </si>
  <si>
    <t>Ludwigia palustris (L.) Elliot</t>
  </si>
  <si>
    <t>Menyanthes trifoliata Linnaeus</t>
  </si>
  <si>
    <t>Potamogeton gramineus Linnaeus</t>
  </si>
  <si>
    <t>Potamogeton polygonifolius Pourret</t>
  </si>
  <si>
    <t>Aconito</t>
  </si>
  <si>
    <t>Aconitum napellus Linnaeus</t>
  </si>
  <si>
    <t>Abedul</t>
  </si>
  <si>
    <t>Betula alba Linnaeus</t>
  </si>
  <si>
    <t>Avellano</t>
  </si>
  <si>
    <t>Corylus avellana Linnaeus</t>
  </si>
  <si>
    <t>Genciana</t>
  </si>
  <si>
    <t>Gentiana lutea Linnaeus</t>
  </si>
  <si>
    <t>Manzano silvestre</t>
  </si>
  <si>
    <t>Malus sylvestris Miller</t>
  </si>
  <si>
    <t>Rosa vellosa</t>
  </si>
  <si>
    <t>Rosa villosa Linnaeus</t>
  </si>
  <si>
    <t>Tamujo</t>
  </si>
  <si>
    <t>Securinega tinctoria (L.) Rothm.</t>
  </si>
  <si>
    <t>Arándano</t>
  </si>
  <si>
    <t>Vaccinium myrtillus Linnaeus</t>
  </si>
  <si>
    <t>Pítano</t>
  </si>
  <si>
    <t>Vella pseudocytisus Linnaeus</t>
  </si>
  <si>
    <t>Roble albar</t>
  </si>
  <si>
    <t>Quercus petraea (Mattuschka) Liebl.</t>
  </si>
  <si>
    <t>Roble común</t>
  </si>
  <si>
    <t>Sorbus aria Linnaeus</t>
  </si>
  <si>
    <t>Sorbus aucuparia Linnaeus</t>
  </si>
  <si>
    <t>Cerezo silvestre</t>
  </si>
  <si>
    <t>Prunus avium Linnaeus</t>
  </si>
  <si>
    <t>Madroño</t>
  </si>
  <si>
    <t>Arbutus unedo Linnaeus</t>
  </si>
  <si>
    <t>Sauco</t>
  </si>
  <si>
    <t>Sambucus nigra Linnaeus</t>
  </si>
  <si>
    <t>Haya</t>
  </si>
  <si>
    <t>Fagus sylvatica Schotsman</t>
  </si>
  <si>
    <t>Callitriche lusitanica (F.X. Hartman) O. Schwarz</t>
  </si>
  <si>
    <t>Eleocharis quinqueflora Linnaeus</t>
  </si>
  <si>
    <t>Najas marina Linnaeus</t>
  </si>
  <si>
    <t>Ruppia maritima maritima Linnaeus</t>
  </si>
  <si>
    <t>Glycyrrhiza glabra Linnaeus</t>
  </si>
  <si>
    <t>Alcornoque</t>
  </si>
  <si>
    <t>Quercus suber Linnaeus</t>
  </si>
  <si>
    <t>Senecio boissieri D.C.</t>
  </si>
  <si>
    <t>Veratrum album Linnaeus</t>
  </si>
  <si>
    <t>Viburnum opulus Linnaeus</t>
  </si>
  <si>
    <t>Betula pendula Roth.</t>
  </si>
  <si>
    <t>Cat. Madrid</t>
  </si>
  <si>
    <t>Terrera común</t>
  </si>
  <si>
    <t>Cat. amenaza (Listado/Catálogo Madrid)</t>
  </si>
  <si>
    <t>Anagallis tenella</t>
  </si>
  <si>
    <t>Anchusa undulata</t>
  </si>
  <si>
    <t>Apium inundatum</t>
  </si>
  <si>
    <t>Bromus rubens</t>
  </si>
  <si>
    <t>Bromus tectorum</t>
  </si>
  <si>
    <t>Coincya monensis subsp. orophila</t>
  </si>
  <si>
    <t>Euphorbia matritensis</t>
  </si>
  <si>
    <t>Gnaphalium uliginosum</t>
  </si>
  <si>
    <t>Hypericum australe</t>
  </si>
  <si>
    <t>Isolepis pseudosetacea</t>
  </si>
  <si>
    <t>Juncus articulatus</t>
  </si>
  <si>
    <t>Juncus pygmaeus</t>
  </si>
  <si>
    <t>Juncus tenageia</t>
  </si>
  <si>
    <t>Lavandula pedunculata</t>
  </si>
  <si>
    <t>Lythrum borysthenicum</t>
  </si>
  <si>
    <t>Myosotis discolor</t>
  </si>
  <si>
    <t>Polygonum hydropiper</t>
  </si>
  <si>
    <t>Pulicaria arabica subsp. hispanica</t>
  </si>
  <si>
    <t>Ranunculus penicillatus</t>
  </si>
  <si>
    <t>Sagina procumbens</t>
  </si>
  <si>
    <t>Stellaria alsine</t>
  </si>
  <si>
    <t>Veronica anagallis-aquatica subsp. anagallis-aquatica</t>
  </si>
  <si>
    <t>Podisma carpetana</t>
  </si>
  <si>
    <t>Serratella hispanica</t>
  </si>
  <si>
    <t>Drunella paradinasi</t>
  </si>
  <si>
    <t>Cocnagrion mercuriale</t>
  </si>
  <si>
    <t>Steropleurus obsoletus</t>
  </si>
  <si>
    <t>Dociostaurus crassiusculus</t>
  </si>
  <si>
    <t>Dociostaurus hispanicos</t>
  </si>
  <si>
    <t>Arcyptera tornosi</t>
  </si>
  <si>
    <t>Sciobia lusitanica</t>
  </si>
  <si>
    <t>Leuctra madritensis</t>
  </si>
  <si>
    <t>Brachyptera arcuata</t>
  </si>
  <si>
    <t>Marthamea vitripennis</t>
  </si>
  <si>
    <t>Rhyacophila relicta</t>
  </si>
  <si>
    <t>Allogamus laureatus</t>
  </si>
  <si>
    <t>Euphydryas desfontainii</t>
  </si>
  <si>
    <t>Iolana iolas</t>
  </si>
  <si>
    <t>Plebejus pylaon</t>
  </si>
  <si>
    <t>Plebicula nivescens</t>
  </si>
  <si>
    <t>Agrodiaetus fabressei</t>
  </si>
  <si>
    <t>Coscinia romeii</t>
  </si>
  <si>
    <t>Carabus ghiliani</t>
  </si>
  <si>
    <t>Nebria vuillefroyi</t>
  </si>
  <si>
    <t>Leistus constrictus</t>
  </si>
  <si>
    <t>Calathus vuillefroyi</t>
  </si>
  <si>
    <t>Platyderus varians</t>
  </si>
  <si>
    <t>Ocydromus carpetanum</t>
  </si>
  <si>
    <t>Mimela rugatipennis</t>
  </si>
  <si>
    <t>Iberodorcadion hispanicum</t>
  </si>
  <si>
    <t>Attactagenus zarateae</t>
  </si>
  <si>
    <t>Gonioctena leprieuri</t>
  </si>
  <si>
    <t>Ceratophyus martinezi</t>
  </si>
  <si>
    <t>Nymphalis antiopa</t>
  </si>
  <si>
    <t>Ocnogyna latreillei</t>
  </si>
  <si>
    <t>Zerynthia rumina</t>
  </si>
  <si>
    <t>Saturnia pyri</t>
  </si>
  <si>
    <t>Ocnogyna zoraida</t>
  </si>
  <si>
    <t>Tropidophoxinellus alburnoides</t>
  </si>
  <si>
    <t>Anguilla anguilla</t>
  </si>
  <si>
    <t>Cobitis calderoni</t>
  </si>
  <si>
    <t>Barbus comiza</t>
  </si>
  <si>
    <t>Triturus alpestris</t>
  </si>
  <si>
    <t>Lynx pardina</t>
  </si>
  <si>
    <t>Rhinolophus ferrum-equinum</t>
  </si>
  <si>
    <t>Mauremys caspica</t>
  </si>
  <si>
    <t>Coluber hippocrepis</t>
  </si>
  <si>
    <t>Macroprotodon cucullatus</t>
  </si>
  <si>
    <t>Lacerta monticola</t>
  </si>
  <si>
    <t>Anas strepera</t>
  </si>
  <si>
    <t>Netta rufina</t>
  </si>
  <si>
    <t>Rallus aquaticus</t>
  </si>
  <si>
    <t>Vanellus vanellus</t>
  </si>
  <si>
    <t>Hohenackeria polyodon</t>
  </si>
  <si>
    <t>Lycopodiella inundata</t>
  </si>
  <si>
    <t>Narcissus pseudonarcissus confusus</t>
  </si>
  <si>
    <t>Polystichum lonchitis</t>
  </si>
  <si>
    <t>Arthrocnemum machrostachyum</t>
  </si>
  <si>
    <t>Halimium commutatum</t>
  </si>
  <si>
    <t>Melittis melissophyllum</t>
  </si>
  <si>
    <t>Nepeta beltranii</t>
  </si>
  <si>
    <t>Juniperus thurifera</t>
  </si>
  <si>
    <t>Ulmus glabra</t>
  </si>
  <si>
    <t>Fraxinus excelsior</t>
  </si>
  <si>
    <t>Lilium martagon</t>
  </si>
  <si>
    <t>Sorbus latifolia</t>
  </si>
  <si>
    <t>Nitella flexilis</t>
  </si>
  <si>
    <t>Nitella mucronata</t>
  </si>
  <si>
    <t>Nitella translucens</t>
  </si>
  <si>
    <t>Riccia fluitans</t>
  </si>
  <si>
    <t>Isoetes histrix</t>
  </si>
  <si>
    <t>Potamogeton perfoliatus</t>
  </si>
  <si>
    <t>Utricularia minor</t>
  </si>
  <si>
    <t>Carex umbrosa huetiana</t>
  </si>
  <si>
    <t>Eriophorum latifolium</t>
  </si>
  <si>
    <t>Hyacinthoides non-scripta</t>
  </si>
  <si>
    <t>Isoetes velatum</t>
  </si>
  <si>
    <t>Juncus alpinoarticulatus</t>
  </si>
  <si>
    <t>Cistus psilosepalus</t>
  </si>
  <si>
    <t>Echium flavum</t>
  </si>
  <si>
    <t>Epilobium angustifolium</t>
  </si>
  <si>
    <t>Euphorbia broteri</t>
  </si>
  <si>
    <t>Geum rivale</t>
  </si>
  <si>
    <t>Hypericum androsaemum</t>
  </si>
  <si>
    <t>Narcissus cantabricus</t>
  </si>
  <si>
    <t>Prunus padus</t>
  </si>
  <si>
    <t>Ranunculus abnormis</t>
  </si>
  <si>
    <t>Ranunculus nigrescens</t>
  </si>
  <si>
    <t>Secale montanum</t>
  </si>
  <si>
    <t>Luzula caespitosa</t>
  </si>
  <si>
    <t>Luzula sylvatica</t>
  </si>
  <si>
    <t>Paris quadrifolia</t>
  </si>
  <si>
    <t>Pedicularis comosa schizocalyx</t>
  </si>
  <si>
    <t>Phyteuma spicatum</t>
  </si>
  <si>
    <t>Pinguicula grandiflora</t>
  </si>
  <si>
    <t>Platanthera bifolia</t>
  </si>
  <si>
    <t>Pyrola rotundifolia</t>
  </si>
  <si>
    <t>Ranunculus valdesii</t>
  </si>
  <si>
    <t>Scrophularia alpestris</t>
  </si>
  <si>
    <t>Selaginella denticulata</t>
  </si>
  <si>
    <t>Senecio carpetanus</t>
  </si>
  <si>
    <t>Stachys alpina</t>
  </si>
  <si>
    <t>Amelanchier ovalis</t>
  </si>
  <si>
    <t>Azolla caroliniana</t>
  </si>
  <si>
    <t>Callitriche truncata truncata</t>
  </si>
  <si>
    <t>Litorella uniflora</t>
  </si>
  <si>
    <t>Ludwigia palustris</t>
  </si>
  <si>
    <t>Menyanthes trifoliata</t>
  </si>
  <si>
    <t>Potamogeton gramineus</t>
  </si>
  <si>
    <t>Potamogeton polygonifolius</t>
  </si>
  <si>
    <t>Aconitum napellus</t>
  </si>
  <si>
    <t>Betula alba</t>
  </si>
  <si>
    <t>Corylus avellana</t>
  </si>
  <si>
    <t>Gentiana lutea</t>
  </si>
  <si>
    <t>Malus sylvestris</t>
  </si>
  <si>
    <t>Rosa villosa</t>
  </si>
  <si>
    <t>Securinega tinctoria</t>
  </si>
  <si>
    <t>Vaccinium myrtillus</t>
  </si>
  <si>
    <t>Vella pseudocytisus</t>
  </si>
  <si>
    <t>Quercus petraea</t>
  </si>
  <si>
    <t>Quercus robur</t>
  </si>
  <si>
    <t>Sambucus nigra</t>
  </si>
  <si>
    <t>Fagus sylvatica</t>
  </si>
  <si>
    <t>Callitriche lusitanica</t>
  </si>
  <si>
    <t>Eleocharis quinqueflora</t>
  </si>
  <si>
    <t>Najas marina</t>
  </si>
  <si>
    <t>Ruppia maritima maritima</t>
  </si>
  <si>
    <t>Glycyrrhiza glabra</t>
  </si>
  <si>
    <t>Senecio boissieri</t>
  </si>
  <si>
    <t>Veratrum album</t>
  </si>
  <si>
    <t>Betula pendula</t>
  </si>
  <si>
    <t>Emberiza schoeniclus</t>
  </si>
  <si>
    <t>Microtus nivalis abulensis</t>
  </si>
  <si>
    <t>Neomys anomalus</t>
  </si>
  <si>
    <t>Triturus boscai</t>
  </si>
  <si>
    <t>Inventario Faunístico — Proyecto</t>
  </si>
  <si>
    <t>Decreto 18/1992, de 26 de marzo, por el</t>
  </si>
  <si>
    <t>Categoría</t>
  </si>
  <si>
    <t>Nota: 'LESRPE/CEEA' y 'Cat. Madrid' cuentan especies por fuente normativa de forma independiente; una misma especie puede figurar en ambas columnas si tiene protección tanto nacional como autonómica.</t>
  </si>
  <si>
    <t>Águila Perdicera</t>
  </si>
  <si>
    <t>Águila Imperial ibérica</t>
  </si>
  <si>
    <t>Pterocles orientalis Linnaeus</t>
  </si>
  <si>
    <t>Myotis blythii Monticelli</t>
  </si>
  <si>
    <t>Miniopterus schreibersii Kuhl</t>
  </si>
  <si>
    <t>Topillo de Cabrera</t>
  </si>
  <si>
    <t>Rana iberica Boulenger</t>
  </si>
  <si>
    <t>Cerceta común</t>
  </si>
  <si>
    <t>Ánade friso</t>
  </si>
  <si>
    <t>Musgaño de Cabrera</t>
  </si>
  <si>
    <t>Quercus robur (L.) Crantz</t>
  </si>
  <si>
    <t>Regaliz</t>
  </si>
  <si>
    <t>Eléboro blanco</t>
  </si>
  <si>
    <t>Bola de nieve</t>
  </si>
  <si>
    <t>Abedul común</t>
  </si>
  <si>
    <t>SENSIBLES</t>
  </si>
  <si>
    <t>INTERÉS ESPECIAL</t>
  </si>
  <si>
    <t>VULNERABLES</t>
  </si>
  <si>
    <t>Inventario Florístico — Planta solar El Álamo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</si>
</sst>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374151"/>
      <name val="Calibri"/>
      <family val="2"/>
    </font>
    <font>
      <sz val="10"/>
      <color rgb="FF166534"/>
      <name val="Calibri"/>
      <family val="2"/>
    </font>
    <font>
      <sz val="10"/>
      <color rgb="FF854D0E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1"/>
      <name val="Calibri"/>
      <family val="2"/>
      <scheme val="minor"/>
    </font>
    <font>
      <strike/>
      <sz val="10"/>
      <name val="Arial"/>
      <family val="2"/>
    </font>
    <font>
      <i/>
      <strike/>
      <sz val="10"/>
      <name val="Arial"/>
      <family val="2"/>
    </font>
    <font>
      <u/>
      <sz val="10"/>
      <color theme="1"/>
      <name val="Arial"/>
      <family val="2"/>
    </font>
    <font>
      <i/>
      <u/>
      <sz val="10"/>
      <color theme="1"/>
      <name val="Arial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trike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1E293B"/>
      <name val="Calibri"/>
    </font>
    <font>
      <b/>
      <sz val="9"/>
      <color rgb="FF9A3412"/>
      <name val="Calibri"/>
    </font>
    <font>
      <b/>
      <sz val="9"/>
      <color rgb="FF854D0E"/>
      <name val="Calibri"/>
    </font>
    <font>
      <b/>
      <sz val="9"/>
      <color rgb="FF166534"/>
      <name val="Calibri"/>
    </font>
    <font>
      <b/>
      <sz val="10"/>
      <color rgb="FFFFFFFF"/>
      <name val="Calibri"/>
    </font>
    <font>
      <i/>
      <sz val="10"/>
      <color rgb="FF374151"/>
      <name val="Calibri"/>
    </font>
    <font>
      <sz val="10"/>
      <color rgb="FF374151"/>
      <name val="Calibri"/>
    </font>
    <font>
      <i/>
      <sz val="10"/>
      <color rgb="FF166534"/>
      <name val="Calibri"/>
    </font>
    <font>
      <sz val="10"/>
      <color rgb="FF166534"/>
      <name val="Calibri"/>
    </font>
    <font>
      <i/>
      <sz val="10"/>
      <color rgb="FF854D0E"/>
      <name val="Calibri"/>
    </font>
    <font>
      <sz val="10"/>
      <color rgb="FF854D0E"/>
      <name val="Calibri"/>
    </font>
    <font>
      <i/>
      <sz val="10"/>
      <color rgb="FF9A3412"/>
      <name val="Calibri"/>
    </font>
    <font>
      <sz val="10"/>
      <color rgb="FF9A3412"/>
      <name val="Calibri"/>
    </font>
    <font>
      <b/>
      <sz val="10"/>
      <color rgb="FF374151"/>
      <name val="Calibri"/>
    </font>
    <font>
      <b/>
      <sz val="10"/>
      <color rgb="FF9A3412"/>
      <name val="Calibri"/>
    </font>
    <font>
      <b/>
      <sz val="10"/>
      <color rgb="FF854D0E"/>
      <name val="Calibri"/>
    </font>
    <font>
      <b/>
      <sz val="10"/>
      <color rgb="FF166534"/>
      <name val="Calibri"/>
    </font>
    <font>
      <i/>
      <sz val="8"/>
      <color rgb="FF6B728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  <fill>
      <patternFill patternType="solid">
        <fgColor rgb="FFFFEDD5"/>
        <bgColor rgb="FFFFEDD5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374151"/>
        <bgColor rgb="FF374151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66534"/>
        <bgColor rgb="FF16653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E7D32"/>
        <bgColor rgb="FF1B5E20"/>
      </patternFill>
    </fill>
  </fills>
  <borders count="1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15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6" fillId="0" borderId="0" xfId="1"/>
    <xf numFmtId="0" fontId="7" fillId="10" borderId="3" xfId="2" applyFont="1" applyFill="1" applyBorder="1" applyAlignment="1">
      <alignment horizontal="center" vertical="center" wrapText="1"/>
    </xf>
    <xf numFmtId="0" fontId="7" fillId="11" borderId="3" xfId="2" applyFont="1" applyFill="1" applyBorder="1" applyAlignment="1">
      <alignment horizontal="center" vertical="center" wrapText="1"/>
    </xf>
    <xf numFmtId="0" fontId="7" fillId="10" borderId="3" xfId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6" fillId="0" borderId="3" xfId="2" applyBorder="1" applyAlignment="1">
      <alignment vertical="center" wrapText="1"/>
    </xf>
    <xf numFmtId="0" fontId="6" fillId="12" borderId="3" xfId="2" applyFill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6" fillId="0" borderId="3" xfId="2" applyBorder="1" applyAlignment="1">
      <alignment horizontal="center" wrapText="1"/>
    </xf>
    <xf numFmtId="0" fontId="6" fillId="0" borderId="3" xfId="2" applyBorder="1" applyAlignment="1">
      <alignment horizontal="center" vertical="center" wrapText="1"/>
    </xf>
    <xf numFmtId="0" fontId="6" fillId="0" borderId="0" xfId="2" applyAlignment="1">
      <alignment vertical="center" wrapText="1"/>
    </xf>
    <xf numFmtId="0" fontId="6" fillId="0" borderId="0" xfId="2" applyAlignment="1">
      <alignment vertical="center"/>
    </xf>
    <xf numFmtId="0" fontId="8" fillId="12" borderId="3" xfId="2" applyFont="1" applyFill="1" applyBorder="1" applyAlignment="1">
      <alignment vertical="center" wrapText="1"/>
    </xf>
    <xf numFmtId="0" fontId="6" fillId="12" borderId="3" xfId="1" applyFill="1" applyBorder="1" applyAlignment="1">
      <alignment vertical="center" wrapText="1"/>
    </xf>
    <xf numFmtId="0" fontId="6" fillId="12" borderId="3" xfId="2" applyFill="1" applyBorder="1" applyAlignment="1">
      <alignment horizontal="center" wrapText="1"/>
    </xf>
    <xf numFmtId="0" fontId="6" fillId="12" borderId="3" xfId="2" applyFill="1" applyBorder="1" applyAlignment="1">
      <alignment horizontal="center" vertical="center" wrapText="1"/>
    </xf>
    <xf numFmtId="0" fontId="6" fillId="12" borderId="0" xfId="2" applyFill="1" applyAlignment="1">
      <alignment vertical="center" wrapText="1"/>
    </xf>
    <xf numFmtId="0" fontId="9" fillId="12" borderId="3" xfId="2" applyFont="1" applyFill="1" applyBorder="1" applyAlignment="1">
      <alignment horizontal="left" vertical="center" wrapText="1"/>
    </xf>
    <xf numFmtId="0" fontId="11" fillId="0" borderId="0" xfId="2" applyFont="1" applyAlignment="1">
      <alignment vertical="center" wrapText="1"/>
    </xf>
    <xf numFmtId="0" fontId="8" fillId="12" borderId="3" xfId="1" applyFont="1" applyFill="1" applyBorder="1" applyAlignment="1">
      <alignment horizontal="left" vertical="center" wrapText="1"/>
    </xf>
    <xf numFmtId="0" fontId="10" fillId="12" borderId="3" xfId="2" applyFont="1" applyFill="1" applyBorder="1" applyAlignment="1">
      <alignment horizontal="center" vertical="center" wrapText="1"/>
    </xf>
    <xf numFmtId="0" fontId="6" fillId="12" borderId="3" xfId="2" applyFill="1" applyBorder="1" applyAlignment="1">
      <alignment horizontal="left" vertical="center" wrapText="1"/>
    </xf>
    <xf numFmtId="0" fontId="6" fillId="12" borderId="3" xfId="1" applyFill="1" applyBorder="1" applyAlignment="1">
      <alignment horizontal="right" vertical="center" wrapText="1"/>
    </xf>
    <xf numFmtId="0" fontId="6" fillId="12" borderId="3" xfId="1" applyFill="1" applyBorder="1" applyAlignment="1">
      <alignment horizontal="center" vertical="center" wrapText="1"/>
    </xf>
    <xf numFmtId="0" fontId="6" fillId="12" borderId="3" xfId="2" applyFill="1" applyBorder="1" applyAlignment="1">
      <alignment vertical="center"/>
    </xf>
    <xf numFmtId="0" fontId="6" fillId="0" borderId="3" xfId="2" applyBorder="1"/>
    <xf numFmtId="0" fontId="6" fillId="0" borderId="3" xfId="2" applyBorder="1" applyAlignment="1">
      <alignment horizontal="left" vertical="center" wrapText="1"/>
    </xf>
    <xf numFmtId="0" fontId="8" fillId="0" borderId="3" xfId="2" applyFont="1" applyBorder="1" applyAlignment="1">
      <alignment horizontal="left" vertical="center" wrapText="1"/>
    </xf>
    <xf numFmtId="0" fontId="14" fillId="12" borderId="3" xfId="2" applyFont="1" applyFill="1" applyBorder="1" applyAlignment="1">
      <alignment horizontal="right" vertical="center"/>
    </xf>
    <xf numFmtId="0" fontId="10" fillId="12" borderId="3" xfId="2" applyFont="1" applyFill="1" applyBorder="1" applyAlignment="1">
      <alignment horizontal="left" vertical="center" wrapText="1"/>
    </xf>
    <xf numFmtId="0" fontId="10" fillId="0" borderId="3" xfId="2" applyFont="1" applyBorder="1" applyAlignment="1">
      <alignment horizontal="left" vertical="center" wrapText="1"/>
    </xf>
    <xf numFmtId="0" fontId="15" fillId="0" borderId="3" xfId="2" applyFont="1" applyBorder="1" applyAlignment="1">
      <alignment vertical="center" wrapText="1"/>
    </xf>
    <xf numFmtId="0" fontId="10" fillId="0" borderId="3" xfId="2" applyFont="1" applyBorder="1" applyAlignment="1">
      <alignment vertical="center" wrapText="1"/>
    </xf>
    <xf numFmtId="0" fontId="10" fillId="12" borderId="3" xfId="2" applyFont="1" applyFill="1" applyBorder="1" applyAlignment="1">
      <alignment vertical="center" wrapText="1"/>
    </xf>
    <xf numFmtId="0" fontId="9" fillId="12" borderId="3" xfId="2" applyFont="1" applyFill="1" applyBorder="1" applyAlignment="1">
      <alignment vertical="center" wrapText="1"/>
    </xf>
    <xf numFmtId="0" fontId="8" fillId="0" borderId="3" xfId="1" applyFont="1" applyBorder="1" applyAlignment="1">
      <alignment horizontal="left" vertical="center" wrapText="1"/>
    </xf>
    <xf numFmtId="0" fontId="10" fillId="0" borderId="3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3" xfId="2" applyFont="1" applyBorder="1" applyAlignment="1">
      <alignment vertical="center" wrapText="1"/>
    </xf>
    <xf numFmtId="0" fontId="6" fillId="12" borderId="3" xfId="2" applyFill="1" applyBorder="1"/>
    <xf numFmtId="0" fontId="9" fillId="0" borderId="3" xfId="2" applyFont="1" applyBorder="1" applyAlignment="1">
      <alignment vertical="center" wrapText="1"/>
    </xf>
    <xf numFmtId="0" fontId="10" fillId="0" borderId="0" xfId="2" applyFont="1" applyAlignment="1">
      <alignment vertical="center" wrapText="1"/>
    </xf>
    <xf numFmtId="0" fontId="10" fillId="12" borderId="3" xfId="2" applyFont="1" applyFill="1" applyBorder="1" applyAlignment="1">
      <alignment wrapText="1"/>
    </xf>
    <xf numFmtId="0" fontId="9" fillId="0" borderId="3" xfId="1" applyFont="1" applyBorder="1" applyAlignment="1">
      <alignment horizontal="left" vertical="center" wrapText="1"/>
    </xf>
    <xf numFmtId="0" fontId="9" fillId="0" borderId="3" xfId="1" applyFont="1" applyBorder="1" applyAlignment="1">
      <alignment vertical="center" wrapText="1"/>
    </xf>
    <xf numFmtId="0" fontId="10" fillId="0" borderId="3" xfId="2" applyFont="1" applyBorder="1" applyAlignment="1">
      <alignment horizontal="center" wrapText="1"/>
    </xf>
    <xf numFmtId="0" fontId="6" fillId="0" borderId="3" xfId="1" applyBorder="1" applyAlignment="1">
      <alignment horizontal="center" vertical="center" wrapText="1"/>
    </xf>
    <xf numFmtId="0" fontId="8" fillId="12" borderId="3" xfId="1" applyFont="1" applyFill="1" applyBorder="1" applyAlignment="1">
      <alignment vertical="center" wrapText="1"/>
    </xf>
    <xf numFmtId="0" fontId="8" fillId="0" borderId="3" xfId="1" applyFont="1" applyBorder="1" applyAlignment="1">
      <alignment vertical="center" wrapText="1"/>
    </xf>
    <xf numFmtId="0" fontId="8" fillId="12" borderId="0" xfId="2" applyFont="1" applyFill="1" applyAlignment="1">
      <alignment vertical="center" wrapText="1"/>
    </xf>
    <xf numFmtId="0" fontId="19" fillId="0" borderId="3" xfId="3" applyBorder="1" applyAlignment="1" applyProtection="1">
      <alignment vertical="center" wrapText="1"/>
    </xf>
    <xf numFmtId="0" fontId="6" fillId="0" borderId="3" xfId="1" applyBorder="1" applyAlignment="1">
      <alignment vertical="center" wrapText="1"/>
    </xf>
    <xf numFmtId="0" fontId="15" fillId="12" borderId="3" xfId="2" applyFont="1" applyFill="1" applyBorder="1" applyAlignment="1">
      <alignment horizontal="center" vertical="center" wrapText="1"/>
    </xf>
    <xf numFmtId="0" fontId="6" fillId="12" borderId="3" xfId="1" applyFill="1" applyBorder="1" applyAlignment="1">
      <alignment horizontal="left" vertical="center" wrapText="1"/>
    </xf>
    <xf numFmtId="0" fontId="6" fillId="12" borderId="0" xfId="2" applyFill="1" applyAlignment="1">
      <alignment horizontal="center" vertical="center" wrapText="1"/>
    </xf>
    <xf numFmtId="0" fontId="19" fillId="12" borderId="3" xfId="3" applyFill="1" applyBorder="1" applyAlignment="1" applyProtection="1">
      <alignment vertical="center" wrapText="1"/>
    </xf>
    <xf numFmtId="0" fontId="6" fillId="12" borderId="3" xfId="2" applyFill="1" applyBorder="1" applyAlignment="1">
      <alignment horizontal="right" vertical="center" wrapText="1"/>
    </xf>
    <xf numFmtId="0" fontId="6" fillId="12" borderId="0" xfId="1" applyFill="1" applyAlignment="1">
      <alignment vertical="center" wrapText="1"/>
    </xf>
    <xf numFmtId="0" fontId="6" fillId="12" borderId="0" xfId="1" applyFill="1" applyAlignment="1">
      <alignment horizontal="center" vertical="center" wrapText="1"/>
    </xf>
    <xf numFmtId="0" fontId="20" fillId="13" borderId="3" xfId="2" applyFont="1" applyFill="1" applyBorder="1" applyAlignment="1">
      <alignment vertical="center" wrapText="1"/>
    </xf>
    <xf numFmtId="0" fontId="23" fillId="12" borderId="3" xfId="4" applyFont="1" applyFill="1" applyBorder="1" applyAlignment="1">
      <alignment horizontal="right" vertical="center" wrapText="1"/>
    </xf>
    <xf numFmtId="0" fontId="24" fillId="12" borderId="3" xfId="2" applyFont="1" applyFill="1" applyBorder="1" applyAlignment="1">
      <alignment vertical="center" wrapText="1"/>
    </xf>
    <xf numFmtId="0" fontId="6" fillId="0" borderId="0" xfId="2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8" fillId="12" borderId="3" xfId="2" applyFont="1" applyFill="1" applyBorder="1" applyAlignment="1">
      <alignment horizontal="left" vertical="center" wrapText="1"/>
    </xf>
    <xf numFmtId="0" fontId="6" fillId="12" borderId="0" xfId="2" applyFill="1"/>
    <xf numFmtId="0" fontId="6" fillId="0" borderId="3" xfId="2" applyBorder="1" applyAlignment="1">
      <alignment horizontal="left" wrapText="1"/>
    </xf>
    <xf numFmtId="0" fontId="9" fillId="12" borderId="3" xfId="1" applyFont="1" applyFill="1" applyBorder="1" applyAlignment="1">
      <alignment vertical="center" wrapText="1"/>
    </xf>
    <xf numFmtId="0" fontId="6" fillId="12" borderId="3" xfId="2" applyFill="1" applyBorder="1" applyAlignment="1">
      <alignment horizontal="left" wrapText="1"/>
    </xf>
    <xf numFmtId="0" fontId="8" fillId="0" borderId="0" xfId="2" applyFont="1" applyAlignment="1">
      <alignment vertical="center" wrapText="1"/>
    </xf>
    <xf numFmtId="0" fontId="9" fillId="0" borderId="3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center" vertical="center" wrapText="1"/>
    </xf>
    <xf numFmtId="0" fontId="6" fillId="0" borderId="3" xfId="2" applyBorder="1" applyAlignment="1">
      <alignment horizontal="center" vertical="top" wrapText="1"/>
    </xf>
    <xf numFmtId="0" fontId="6" fillId="12" borderId="3" xfId="2" applyFill="1" applyBorder="1" applyAlignment="1">
      <alignment horizontal="right" vertical="top" wrapText="1"/>
    </xf>
    <xf numFmtId="0" fontId="8" fillId="0" borderId="3" xfId="2" applyFont="1" applyBorder="1" applyAlignment="1">
      <alignment horizontal="left" vertical="top" wrapText="1"/>
    </xf>
    <xf numFmtId="0" fontId="6" fillId="12" borderId="3" xfId="2" applyFill="1" applyBorder="1" applyAlignment="1">
      <alignment horizontal="left" vertical="top" wrapText="1"/>
    </xf>
    <xf numFmtId="0" fontId="11" fillId="0" borderId="3" xfId="2" applyFont="1" applyBorder="1" applyAlignment="1">
      <alignment horizontal="center" vertical="top" wrapText="1"/>
    </xf>
    <xf numFmtId="0" fontId="6" fillId="0" borderId="0" xfId="2" applyAlignment="1">
      <alignment horizontal="center" vertical="top" wrapText="1"/>
    </xf>
    <xf numFmtId="0" fontId="25" fillId="0" borderId="0" xfId="2" applyFont="1" applyAlignment="1">
      <alignment vertical="center" wrapText="1"/>
    </xf>
    <xf numFmtId="0" fontId="6" fillId="0" borderId="3" xfId="1" applyBorder="1" applyAlignment="1">
      <alignment horizontal="left" vertical="center" wrapText="1"/>
    </xf>
    <xf numFmtId="0" fontId="19" fillId="12" borderId="0" xfId="3" applyFill="1" applyBorder="1" applyAlignment="1" applyProtection="1">
      <alignment vertical="center" wrapText="1"/>
    </xf>
    <xf numFmtId="0" fontId="6" fillId="14" borderId="4" xfId="2" applyFill="1" applyBorder="1"/>
    <xf numFmtId="0" fontId="6" fillId="0" borderId="0" xfId="2" applyAlignment="1">
      <alignment horizontal="center" wrapText="1"/>
    </xf>
    <xf numFmtId="0" fontId="19" fillId="0" borderId="0" xfId="3" applyAlignment="1" applyProtection="1">
      <alignment vertical="center" wrapText="1"/>
    </xf>
    <xf numFmtId="0" fontId="6" fillId="0" borderId="5" xfId="2" applyBorder="1" applyAlignment="1">
      <alignment vertical="top"/>
    </xf>
    <xf numFmtId="0" fontId="6" fillId="12" borderId="5" xfId="2" applyFill="1" applyBorder="1" applyAlignment="1">
      <alignment vertical="center" wrapText="1"/>
    </xf>
    <xf numFmtId="0" fontId="6" fillId="0" borderId="5" xfId="1" applyBorder="1" applyAlignment="1">
      <alignment vertical="center" wrapText="1"/>
    </xf>
    <xf numFmtId="0" fontId="6" fillId="0" borderId="6" xfId="2" applyBorder="1" applyAlignment="1">
      <alignment vertical="top"/>
    </xf>
    <xf numFmtId="0" fontId="6" fillId="12" borderId="6" xfId="2" applyFill="1" applyBorder="1" applyAlignment="1">
      <alignment vertical="center" wrapText="1"/>
    </xf>
    <xf numFmtId="0" fontId="6" fillId="0" borderId="6" xfId="1" applyBorder="1" applyAlignment="1">
      <alignment vertical="center" wrapText="1"/>
    </xf>
    <xf numFmtId="0" fontId="19" fillId="0" borderId="0" xfId="3" applyAlignment="1" applyProtection="1">
      <alignment horizontal="center" vertical="center" wrapText="1"/>
    </xf>
    <xf numFmtId="0" fontId="6" fillId="12" borderId="6" xfId="1" applyFill="1" applyBorder="1" applyAlignment="1">
      <alignment vertical="center" wrapText="1"/>
    </xf>
    <xf numFmtId="0" fontId="6" fillId="0" borderId="0" xfId="1" applyAlignment="1">
      <alignment horizontal="center" wrapText="1"/>
    </xf>
    <xf numFmtId="0" fontId="6" fillId="0" borderId="7" xfId="2" applyBorder="1" applyAlignment="1">
      <alignment vertical="top"/>
    </xf>
    <xf numFmtId="0" fontId="6" fillId="12" borderId="7" xfId="2" applyFill="1" applyBorder="1" applyAlignment="1">
      <alignment vertical="center" wrapText="1"/>
    </xf>
    <xf numFmtId="0" fontId="6" fillId="0" borderId="8" xfId="2" applyBorder="1" applyAlignment="1">
      <alignment horizontal="right" vertical="center" wrapText="1"/>
    </xf>
    <xf numFmtId="0" fontId="19" fillId="12" borderId="5" xfId="3" applyFill="1" applyBorder="1" applyAlignment="1" applyProtection="1">
      <alignment horizontal="center" vertical="center" wrapText="1"/>
    </xf>
    <xf numFmtId="0" fontId="6" fillId="0" borderId="9" xfId="2" applyBorder="1" applyAlignment="1">
      <alignment horizontal="left" vertical="center" wrapText="1"/>
    </xf>
    <xf numFmtId="0" fontId="6" fillId="0" borderId="10" xfId="2" applyBorder="1" applyAlignment="1">
      <alignment vertical="center" wrapText="1"/>
    </xf>
    <xf numFmtId="0" fontId="8" fillId="12" borderId="6" xfId="2" applyFont="1" applyFill="1" applyBorder="1" applyAlignment="1">
      <alignment vertical="center" wrapText="1"/>
    </xf>
    <xf numFmtId="0" fontId="6" fillId="0" borderId="11" xfId="2" applyBorder="1" applyAlignment="1">
      <alignment vertical="center" wrapText="1"/>
    </xf>
    <xf numFmtId="0" fontId="6" fillId="0" borderId="5" xfId="2" applyBorder="1" applyAlignment="1">
      <alignment vertical="center" wrapText="1"/>
    </xf>
    <xf numFmtId="0" fontId="6" fillId="0" borderId="9" xfId="2" applyBorder="1" applyAlignment="1">
      <alignment vertical="center" wrapText="1"/>
    </xf>
    <xf numFmtId="0" fontId="19" fillId="12" borderId="6" xfId="3" applyFill="1" applyBorder="1" applyAlignment="1" applyProtection="1">
      <alignment horizontal="center" vertical="center" wrapText="1"/>
    </xf>
    <xf numFmtId="0" fontId="6" fillId="0" borderId="12" xfId="2" applyBorder="1" applyAlignment="1">
      <alignment vertical="center" wrapText="1"/>
    </xf>
    <xf numFmtId="0" fontId="6" fillId="0" borderId="7" xfId="2" applyBorder="1" applyAlignment="1">
      <alignment vertical="center" wrapText="1"/>
    </xf>
    <xf numFmtId="0" fontId="6" fillId="0" borderId="13" xfId="2" applyBorder="1" applyAlignment="1">
      <alignment vertical="center" wrapText="1"/>
    </xf>
    <xf numFmtId="0" fontId="6" fillId="0" borderId="8" xfId="2" applyBorder="1" applyAlignment="1">
      <alignment vertical="center" wrapText="1"/>
    </xf>
    <xf numFmtId="0" fontId="26" fillId="15" borderId="0" xfId="0" applyFont="1" applyFill="1"/>
    <xf numFmtId="0" fontId="27" fillId="16" borderId="14" xfId="0" applyFont="1" applyFill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30" fillId="0" borderId="0" xfId="0" applyFont="1"/>
    <xf numFmtId="0" fontId="31" fillId="3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left"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0" xfId="0" applyFont="1"/>
    <xf numFmtId="0" fontId="44" fillId="3" borderId="1" xfId="0" applyFont="1" applyFill="1" applyBorder="1"/>
    <xf numFmtId="0" fontId="42" fillId="0" borderId="1" xfId="0" applyFont="1" applyBorder="1" applyAlignment="1">
      <alignment horizontal="center" vertical="center" wrapText="1"/>
    </xf>
    <xf numFmtId="0" fontId="45" fillId="4" borderId="1" xfId="0" applyFont="1" applyFill="1" applyBorder="1"/>
    <xf numFmtId="0" fontId="40" fillId="0" borderId="1" xfId="0" applyFont="1" applyBorder="1" applyAlignment="1">
      <alignment horizontal="center" vertical="center" wrapText="1"/>
    </xf>
    <xf numFmtId="0" fontId="46" fillId="5" borderId="1" xfId="0" applyFont="1" applyFill="1" applyBorder="1"/>
    <xf numFmtId="0" fontId="38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28" fillId="0" borderId="0" xfId="0" applyFont="1" applyAlignment="1">
      <alignment vertical="center" wrapText="1"/>
    </xf>
    <xf numFmtId="0" fontId="29" fillId="2" borderId="0" xfId="0" applyFont="1" applyFill="1" applyAlignment="1">
      <alignment horizontal="center" vertical="center" wrapText="1"/>
    </xf>
    <xf numFmtId="0" fontId="0" fillId="0" borderId="0" xfId="0"/>
    <xf numFmtId="0" fontId="47" fillId="0" borderId="0" xfId="0" applyFont="1"/>
    <xf numFmtId="0" fontId="29" fillId="9" borderId="0" xfId="0" applyFont="1" applyFill="1" applyAlignment="1">
      <alignment horizontal="center" vertical="center" wrapText="1"/>
    </xf>
  </cellXfs>
  <cellStyles count="5">
    <cellStyle name="Hipervínculo 2" xfId="3" xr:uid="{108CAAC1-6C58-41F6-B940-65B5E9490B72}"/>
    <cellStyle name="Normal" xfId="0" builtinId="0"/>
    <cellStyle name="Normal 2" xfId="1" xr:uid="{4F3243C8-61A0-4DC8-B8DF-3BFA783227E8}"/>
    <cellStyle name="Normal 3" xfId="2" xr:uid="{24241190-067E-4566-B8FC-3553C0EA1095}"/>
    <cellStyle name="Normal_Names" xfId="4" xr:uid="{46695890-C30D-4047-B88D-AB0A309871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FD5B3D-521D-42DC-B02E-464A0B905A9B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88775780-33ec-4eb0-b8ca-ac2bae64e5c3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5F3F-DA1A-4A2E-9B88-8F9BA4131B9C}">
  <dimension ref="A1:P135"/>
  <sheetViews>
    <sheetView tabSelected="1" workbookViewId="0">
      <selection activeCell="A3" sqref="A3:A135"/>
    </sheetView>
  </sheetViews>
  <sheetFormatPr baseColWidth="10" defaultRowHeight="15" x14ac:dyDescent="0.25"/>
  <cols>
    <col min="2" max="2" width="29.28515625" bestFit="1" customWidth="1"/>
  </cols>
  <sheetData>
    <row r="1" spans="1:16" ht="18.75" x14ac:dyDescent="0.3">
      <c r="A1" s="11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7" t="s">
        <v>5</v>
      </c>
      <c r="G1" s="117" t="s">
        <v>6</v>
      </c>
      <c r="H1" s="117" t="s">
        <v>7</v>
      </c>
      <c r="I1" s="117" t="s">
        <v>8</v>
      </c>
      <c r="J1" s="117" t="s">
        <v>9</v>
      </c>
      <c r="K1" s="117" t="s">
        <v>10</v>
      </c>
      <c r="L1" s="117" t="s">
        <v>11</v>
      </c>
      <c r="M1" s="117" t="s">
        <v>12</v>
      </c>
      <c r="N1" s="117" t="s">
        <v>13</v>
      </c>
      <c r="O1" s="117" t="s">
        <v>14</v>
      </c>
      <c r="P1" s="117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39083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34</v>
      </c>
      <c r="E3" t="s">
        <v>20</v>
      </c>
      <c r="F3" t="s">
        <v>21</v>
      </c>
      <c r="G3" t="s">
        <v>22</v>
      </c>
      <c r="H3">
        <v>37987</v>
      </c>
      <c r="I3" t="s">
        <v>23</v>
      </c>
      <c r="J3" t="s">
        <v>35</v>
      </c>
      <c r="K3" t="s">
        <v>36</v>
      </c>
      <c r="L3" t="s">
        <v>26</v>
      </c>
      <c r="M3" t="s">
        <v>27</v>
      </c>
      <c r="N3" t="s">
        <v>31</v>
      </c>
      <c r="O3" t="s">
        <v>37</v>
      </c>
      <c r="P3" t="s">
        <v>38</v>
      </c>
    </row>
    <row r="4" spans="1:16" x14ac:dyDescent="0.25">
      <c r="A4" t="s">
        <v>16</v>
      </c>
      <c r="B4" t="s">
        <v>39</v>
      </c>
      <c r="C4" t="s">
        <v>40</v>
      </c>
      <c r="D4" t="s">
        <v>41</v>
      </c>
      <c r="E4" t="s">
        <v>20</v>
      </c>
      <c r="F4" t="s">
        <v>21</v>
      </c>
      <c r="G4" t="s">
        <v>22</v>
      </c>
      <c r="H4">
        <v>39083</v>
      </c>
      <c r="I4" t="s">
        <v>23</v>
      </c>
      <c r="J4" t="s">
        <v>24</v>
      </c>
      <c r="K4" t="s">
        <v>42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E5" t="s">
        <v>20</v>
      </c>
      <c r="F5" t="s">
        <v>21</v>
      </c>
      <c r="G5" t="s">
        <v>22</v>
      </c>
      <c r="H5">
        <v>36892</v>
      </c>
      <c r="I5" t="s">
        <v>23</v>
      </c>
      <c r="J5" t="s">
        <v>47</v>
      </c>
      <c r="K5" t="s">
        <v>48</v>
      </c>
      <c r="L5" t="s">
        <v>26</v>
      </c>
      <c r="M5" t="s">
        <v>27</v>
      </c>
      <c r="N5" t="s">
        <v>49</v>
      </c>
      <c r="O5" t="s">
        <v>50</v>
      </c>
      <c r="P5" t="s">
        <v>51</v>
      </c>
    </row>
    <row r="6" spans="1:16" x14ac:dyDescent="0.25">
      <c r="A6" t="s">
        <v>16</v>
      </c>
      <c r="B6" t="s">
        <v>52</v>
      </c>
      <c r="C6" t="s">
        <v>53</v>
      </c>
      <c r="D6" t="s">
        <v>54</v>
      </c>
      <c r="E6" t="s">
        <v>20</v>
      </c>
      <c r="F6" t="s">
        <v>21</v>
      </c>
      <c r="G6" t="s">
        <v>22</v>
      </c>
      <c r="H6">
        <v>39083</v>
      </c>
      <c r="I6" t="s">
        <v>23</v>
      </c>
      <c r="J6" t="s">
        <v>24</v>
      </c>
      <c r="K6" t="s">
        <v>42</v>
      </c>
      <c r="L6" t="s">
        <v>26</v>
      </c>
      <c r="M6" t="s">
        <v>27</v>
      </c>
      <c r="N6" t="s">
        <v>28</v>
      </c>
      <c r="O6" t="s">
        <v>55</v>
      </c>
      <c r="P6" t="s">
        <v>56</v>
      </c>
    </row>
    <row r="7" spans="1:16" x14ac:dyDescent="0.25">
      <c r="A7" t="s">
        <v>43</v>
      </c>
      <c r="B7" t="s">
        <v>57</v>
      </c>
      <c r="C7" t="s">
        <v>58</v>
      </c>
      <c r="D7" t="s">
        <v>59</v>
      </c>
      <c r="E7" t="s">
        <v>20</v>
      </c>
      <c r="F7" t="s">
        <v>21</v>
      </c>
      <c r="G7" t="s">
        <v>60</v>
      </c>
      <c r="H7">
        <v>39814</v>
      </c>
      <c r="I7" t="s">
        <v>61</v>
      </c>
      <c r="J7" t="s">
        <v>62</v>
      </c>
      <c r="K7" t="s">
        <v>63</v>
      </c>
      <c r="L7" t="s">
        <v>26</v>
      </c>
      <c r="M7" t="s">
        <v>27</v>
      </c>
      <c r="N7" t="s">
        <v>49</v>
      </c>
      <c r="O7" t="s">
        <v>50</v>
      </c>
      <c r="P7" t="s">
        <v>64</v>
      </c>
    </row>
    <row r="8" spans="1:16" x14ac:dyDescent="0.25">
      <c r="A8" t="s">
        <v>43</v>
      </c>
      <c r="B8" t="s">
        <v>57</v>
      </c>
      <c r="C8" t="s">
        <v>58</v>
      </c>
      <c r="D8" t="s">
        <v>59</v>
      </c>
      <c r="E8" t="s">
        <v>20</v>
      </c>
      <c r="F8" t="s">
        <v>21</v>
      </c>
      <c r="G8" t="s">
        <v>22</v>
      </c>
      <c r="H8">
        <v>36892</v>
      </c>
      <c r="I8" t="s">
        <v>23</v>
      </c>
      <c r="J8" t="s">
        <v>47</v>
      </c>
      <c r="K8" t="s">
        <v>63</v>
      </c>
      <c r="L8" t="s">
        <v>26</v>
      </c>
      <c r="M8" t="s">
        <v>27</v>
      </c>
      <c r="N8" t="s">
        <v>49</v>
      </c>
      <c r="O8" t="s">
        <v>50</v>
      </c>
      <c r="P8" t="s">
        <v>64</v>
      </c>
    </row>
    <row r="9" spans="1:16" x14ac:dyDescent="0.25">
      <c r="A9" t="s">
        <v>16</v>
      </c>
      <c r="B9" t="s">
        <v>65</v>
      </c>
      <c r="C9" t="s">
        <v>66</v>
      </c>
      <c r="D9" t="s">
        <v>67</v>
      </c>
      <c r="E9" t="s">
        <v>20</v>
      </c>
      <c r="F9" t="s">
        <v>21</v>
      </c>
      <c r="G9" t="s">
        <v>22</v>
      </c>
      <c r="H9">
        <v>39083</v>
      </c>
      <c r="I9" t="s">
        <v>23</v>
      </c>
      <c r="J9" t="s">
        <v>24</v>
      </c>
      <c r="K9" t="s">
        <v>68</v>
      </c>
      <c r="L9" t="s">
        <v>26</v>
      </c>
      <c r="M9" t="s">
        <v>27</v>
      </c>
      <c r="N9" t="s">
        <v>28</v>
      </c>
      <c r="O9" t="s">
        <v>69</v>
      </c>
      <c r="P9" t="s">
        <v>70</v>
      </c>
    </row>
    <row r="10" spans="1:16" x14ac:dyDescent="0.25">
      <c r="A10" t="s">
        <v>71</v>
      </c>
      <c r="B10" t="s">
        <v>72</v>
      </c>
      <c r="C10" t="s">
        <v>73</v>
      </c>
      <c r="D10" t="s">
        <v>74</v>
      </c>
      <c r="E10" t="s">
        <v>20</v>
      </c>
      <c r="F10" t="s">
        <v>21</v>
      </c>
      <c r="G10" t="s">
        <v>22</v>
      </c>
      <c r="H10">
        <v>37257</v>
      </c>
      <c r="I10" t="s">
        <v>75</v>
      </c>
      <c r="J10" t="s">
        <v>76</v>
      </c>
      <c r="K10" t="s">
        <v>42</v>
      </c>
      <c r="L10" t="s">
        <v>26</v>
      </c>
      <c r="M10" t="s">
        <v>27</v>
      </c>
      <c r="N10" t="s">
        <v>77</v>
      </c>
      <c r="O10" t="s">
        <v>78</v>
      </c>
      <c r="P10" t="s">
        <v>79</v>
      </c>
    </row>
    <row r="11" spans="1:16" x14ac:dyDescent="0.25">
      <c r="A11" t="s">
        <v>16</v>
      </c>
      <c r="B11" t="s">
        <v>80</v>
      </c>
      <c r="C11" t="s">
        <v>81</v>
      </c>
      <c r="D11" t="s">
        <v>82</v>
      </c>
      <c r="E11" t="s">
        <v>20</v>
      </c>
      <c r="F11" t="s">
        <v>21</v>
      </c>
      <c r="G11" t="s">
        <v>22</v>
      </c>
      <c r="H11">
        <v>39083</v>
      </c>
      <c r="I11" t="s">
        <v>23</v>
      </c>
      <c r="J11" t="s">
        <v>24</v>
      </c>
      <c r="K11" t="s">
        <v>83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</row>
    <row r="12" spans="1:16" x14ac:dyDescent="0.25">
      <c r="A12" t="s">
        <v>31</v>
      </c>
      <c r="B12" t="s">
        <v>84</v>
      </c>
      <c r="C12" t="s">
        <v>85</v>
      </c>
      <c r="D12" t="s">
        <v>86</v>
      </c>
      <c r="E12" t="s">
        <v>20</v>
      </c>
      <c r="F12" t="s">
        <v>21</v>
      </c>
      <c r="G12" t="s">
        <v>22</v>
      </c>
      <c r="H12">
        <v>37987</v>
      </c>
      <c r="I12" t="s">
        <v>23</v>
      </c>
      <c r="J12" t="s">
        <v>35</v>
      </c>
      <c r="K12" t="s">
        <v>87</v>
      </c>
      <c r="L12" t="s">
        <v>26</v>
      </c>
      <c r="M12" t="s">
        <v>27</v>
      </c>
      <c r="N12" t="s">
        <v>31</v>
      </c>
      <c r="O12" t="s">
        <v>37</v>
      </c>
      <c r="P12" t="s">
        <v>88</v>
      </c>
    </row>
    <row r="13" spans="1:16" x14ac:dyDescent="0.25">
      <c r="A13" t="s">
        <v>31</v>
      </c>
      <c r="B13" t="s">
        <v>89</v>
      </c>
      <c r="C13" t="s">
        <v>90</v>
      </c>
      <c r="D13" t="s">
        <v>91</v>
      </c>
      <c r="E13" t="s">
        <v>20</v>
      </c>
      <c r="F13" t="s">
        <v>21</v>
      </c>
      <c r="G13" t="s">
        <v>22</v>
      </c>
      <c r="H13">
        <v>38718</v>
      </c>
      <c r="I13" t="s">
        <v>75</v>
      </c>
      <c r="J13" t="s">
        <v>92</v>
      </c>
      <c r="K13" t="s">
        <v>36</v>
      </c>
      <c r="L13" t="s">
        <v>26</v>
      </c>
      <c r="M13" t="s">
        <v>27</v>
      </c>
      <c r="N13" t="s">
        <v>31</v>
      </c>
      <c r="O13" t="s">
        <v>93</v>
      </c>
      <c r="P13" t="s">
        <v>94</v>
      </c>
    </row>
    <row r="14" spans="1:16" x14ac:dyDescent="0.25">
      <c r="A14" t="s">
        <v>95</v>
      </c>
      <c r="B14" t="s">
        <v>96</v>
      </c>
      <c r="C14" t="s">
        <v>97</v>
      </c>
      <c r="D14" t="s">
        <v>98</v>
      </c>
      <c r="E14" t="s">
        <v>20</v>
      </c>
      <c r="F14" t="s">
        <v>21</v>
      </c>
      <c r="G14" t="s">
        <v>22</v>
      </c>
      <c r="H14">
        <v>38718</v>
      </c>
      <c r="I14" t="s">
        <v>75</v>
      </c>
      <c r="J14" t="s">
        <v>76</v>
      </c>
      <c r="K14" t="s">
        <v>99</v>
      </c>
      <c r="L14" t="s">
        <v>26</v>
      </c>
      <c r="M14" t="s">
        <v>27</v>
      </c>
      <c r="N14" t="s">
        <v>100</v>
      </c>
      <c r="O14" t="s">
        <v>101</v>
      </c>
      <c r="P14" t="s">
        <v>102</v>
      </c>
    </row>
    <row r="15" spans="1:16" x14ac:dyDescent="0.25">
      <c r="A15" t="s">
        <v>31</v>
      </c>
      <c r="B15" t="s">
        <v>103</v>
      </c>
      <c r="C15" t="s">
        <v>104</v>
      </c>
      <c r="D15" t="s">
        <v>105</v>
      </c>
      <c r="E15" t="s">
        <v>20</v>
      </c>
      <c r="F15" t="s">
        <v>21</v>
      </c>
      <c r="G15" t="s">
        <v>22</v>
      </c>
      <c r="H15">
        <v>37987</v>
      </c>
      <c r="I15" t="s">
        <v>23</v>
      </c>
      <c r="J15" t="s">
        <v>35</v>
      </c>
      <c r="K15" t="s">
        <v>36</v>
      </c>
      <c r="L15" t="s">
        <v>26</v>
      </c>
      <c r="M15" t="s">
        <v>27</v>
      </c>
      <c r="N15" t="s">
        <v>31</v>
      </c>
      <c r="O15" t="s">
        <v>93</v>
      </c>
      <c r="P15" t="s">
        <v>106</v>
      </c>
    </row>
    <row r="16" spans="1:16" x14ac:dyDescent="0.25">
      <c r="A16" t="s">
        <v>16</v>
      </c>
      <c r="B16" t="s">
        <v>107</v>
      </c>
      <c r="C16" t="s">
        <v>108</v>
      </c>
      <c r="D16" t="s">
        <v>109</v>
      </c>
      <c r="E16" t="s">
        <v>20</v>
      </c>
      <c r="F16" t="s">
        <v>21</v>
      </c>
      <c r="G16" t="s">
        <v>22</v>
      </c>
      <c r="H16">
        <v>39083</v>
      </c>
      <c r="I16" t="s">
        <v>23</v>
      </c>
      <c r="J16" t="s">
        <v>24</v>
      </c>
      <c r="K16" t="s">
        <v>110</v>
      </c>
      <c r="L16" t="s">
        <v>26</v>
      </c>
      <c r="M16" t="s">
        <v>27</v>
      </c>
      <c r="N16" t="s">
        <v>28</v>
      </c>
      <c r="O16" t="s">
        <v>29</v>
      </c>
      <c r="P16" t="s">
        <v>111</v>
      </c>
    </row>
    <row r="17" spans="1:16" x14ac:dyDescent="0.25">
      <c r="A17" t="s">
        <v>31</v>
      </c>
      <c r="B17" t="s">
        <v>112</v>
      </c>
      <c r="C17" t="s">
        <v>113</v>
      </c>
      <c r="D17" t="s">
        <v>114</v>
      </c>
      <c r="E17" t="s">
        <v>20</v>
      </c>
      <c r="F17" t="s">
        <v>21</v>
      </c>
      <c r="G17" t="s">
        <v>22</v>
      </c>
      <c r="H17">
        <v>37987</v>
      </c>
      <c r="I17" t="s">
        <v>23</v>
      </c>
      <c r="J17" t="s">
        <v>35</v>
      </c>
      <c r="K17" t="s">
        <v>36</v>
      </c>
      <c r="L17" t="s">
        <v>26</v>
      </c>
      <c r="M17" t="s">
        <v>27</v>
      </c>
      <c r="N17" t="s">
        <v>31</v>
      </c>
      <c r="O17" t="s">
        <v>115</v>
      </c>
      <c r="P17" t="s">
        <v>116</v>
      </c>
    </row>
    <row r="18" spans="1:16" x14ac:dyDescent="0.25">
      <c r="A18" t="s">
        <v>31</v>
      </c>
      <c r="B18" t="s">
        <v>117</v>
      </c>
      <c r="C18" t="s">
        <v>118</v>
      </c>
      <c r="D18" t="s">
        <v>119</v>
      </c>
      <c r="E18" t="s">
        <v>20</v>
      </c>
      <c r="F18" t="s">
        <v>21</v>
      </c>
      <c r="G18" t="s">
        <v>22</v>
      </c>
      <c r="H18">
        <v>37987</v>
      </c>
      <c r="I18" t="s">
        <v>23</v>
      </c>
      <c r="J18" t="s">
        <v>35</v>
      </c>
      <c r="K18" t="s">
        <v>120</v>
      </c>
      <c r="L18" t="s">
        <v>26</v>
      </c>
      <c r="M18" t="s">
        <v>27</v>
      </c>
      <c r="N18" t="s">
        <v>31</v>
      </c>
      <c r="O18" t="s">
        <v>121</v>
      </c>
      <c r="P18" t="s">
        <v>122</v>
      </c>
    </row>
    <row r="19" spans="1:16" x14ac:dyDescent="0.25">
      <c r="A19" t="s">
        <v>16</v>
      </c>
      <c r="B19" t="s">
        <v>123</v>
      </c>
      <c r="C19" t="s">
        <v>124</v>
      </c>
      <c r="D19" t="s">
        <v>125</v>
      </c>
      <c r="E19" t="s">
        <v>20</v>
      </c>
      <c r="F19" t="s">
        <v>21</v>
      </c>
      <c r="G19" t="s">
        <v>22</v>
      </c>
      <c r="H19">
        <v>39083</v>
      </c>
      <c r="I19" t="s">
        <v>23</v>
      </c>
      <c r="J19" t="s">
        <v>24</v>
      </c>
      <c r="K19" t="s">
        <v>126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</row>
    <row r="20" spans="1:16" x14ac:dyDescent="0.25">
      <c r="A20" t="s">
        <v>31</v>
      </c>
      <c r="B20" t="s">
        <v>127</v>
      </c>
      <c r="C20" t="s">
        <v>128</v>
      </c>
      <c r="D20" t="s">
        <v>129</v>
      </c>
      <c r="E20" t="s">
        <v>20</v>
      </c>
      <c r="F20" t="s">
        <v>21</v>
      </c>
      <c r="G20" t="s">
        <v>22</v>
      </c>
      <c r="H20">
        <v>37987</v>
      </c>
      <c r="I20" t="s">
        <v>23</v>
      </c>
      <c r="J20" t="s">
        <v>35</v>
      </c>
      <c r="K20" t="s">
        <v>36</v>
      </c>
      <c r="L20" t="s">
        <v>26</v>
      </c>
      <c r="M20" t="s">
        <v>27</v>
      </c>
      <c r="N20" t="s">
        <v>31</v>
      </c>
      <c r="O20" t="s">
        <v>37</v>
      </c>
      <c r="P20" t="s">
        <v>130</v>
      </c>
    </row>
    <row r="21" spans="1:16" x14ac:dyDescent="0.25">
      <c r="A21" t="s">
        <v>43</v>
      </c>
      <c r="B21" t="s">
        <v>131</v>
      </c>
      <c r="C21" t="s">
        <v>132</v>
      </c>
      <c r="D21" t="s">
        <v>133</v>
      </c>
      <c r="E21" t="s">
        <v>20</v>
      </c>
      <c r="F21" t="s">
        <v>21</v>
      </c>
      <c r="G21" t="s">
        <v>22</v>
      </c>
      <c r="H21">
        <v>36892</v>
      </c>
      <c r="I21" t="s">
        <v>23</v>
      </c>
      <c r="J21" t="s">
        <v>47</v>
      </c>
      <c r="K21" t="s">
        <v>134</v>
      </c>
      <c r="L21" t="s">
        <v>26</v>
      </c>
      <c r="M21" t="s">
        <v>27</v>
      </c>
      <c r="N21" t="s">
        <v>49</v>
      </c>
      <c r="O21" t="s">
        <v>50</v>
      </c>
      <c r="P21" t="s">
        <v>51</v>
      </c>
    </row>
    <row r="22" spans="1:16" x14ac:dyDescent="0.25">
      <c r="A22" t="s">
        <v>31</v>
      </c>
      <c r="B22" t="s">
        <v>135</v>
      </c>
      <c r="C22" t="s">
        <v>136</v>
      </c>
      <c r="D22" t="s">
        <v>137</v>
      </c>
      <c r="E22" t="s">
        <v>20</v>
      </c>
      <c r="F22" t="s">
        <v>21</v>
      </c>
      <c r="G22" t="s">
        <v>22</v>
      </c>
      <c r="H22">
        <v>37987</v>
      </c>
      <c r="I22" t="s">
        <v>23</v>
      </c>
      <c r="J22" t="s">
        <v>35</v>
      </c>
      <c r="K22" t="s">
        <v>36</v>
      </c>
      <c r="L22" t="s">
        <v>26</v>
      </c>
      <c r="M22" t="s">
        <v>27</v>
      </c>
      <c r="N22" t="s">
        <v>31</v>
      </c>
      <c r="O22" t="s">
        <v>93</v>
      </c>
      <c r="P22" t="s">
        <v>94</v>
      </c>
    </row>
    <row r="23" spans="1:16" x14ac:dyDescent="0.25">
      <c r="A23" t="s">
        <v>31</v>
      </c>
      <c r="B23" t="s">
        <v>138</v>
      </c>
      <c r="C23" t="s">
        <v>139</v>
      </c>
      <c r="D23" t="s">
        <v>140</v>
      </c>
      <c r="E23" t="s">
        <v>20</v>
      </c>
      <c r="F23" t="s">
        <v>21</v>
      </c>
      <c r="G23" t="s">
        <v>22</v>
      </c>
      <c r="H23">
        <v>38353</v>
      </c>
      <c r="I23" t="s">
        <v>75</v>
      </c>
      <c r="J23" t="s">
        <v>92</v>
      </c>
      <c r="K23" t="s">
        <v>141</v>
      </c>
      <c r="L23" t="s">
        <v>26</v>
      </c>
      <c r="M23" t="s">
        <v>27</v>
      </c>
      <c r="N23" t="s">
        <v>31</v>
      </c>
      <c r="O23" t="s">
        <v>93</v>
      </c>
      <c r="P23" t="s">
        <v>94</v>
      </c>
    </row>
    <row r="24" spans="1:16" x14ac:dyDescent="0.25">
      <c r="A24" t="s">
        <v>31</v>
      </c>
      <c r="B24" t="s">
        <v>142</v>
      </c>
      <c r="C24" t="s">
        <v>118</v>
      </c>
      <c r="D24" t="s">
        <v>143</v>
      </c>
      <c r="E24" t="s">
        <v>20</v>
      </c>
      <c r="F24" t="s">
        <v>21</v>
      </c>
      <c r="G24" t="s">
        <v>22</v>
      </c>
      <c r="H24">
        <v>37987</v>
      </c>
      <c r="I24" t="s">
        <v>23</v>
      </c>
      <c r="J24" t="s">
        <v>35</v>
      </c>
      <c r="K24" t="s">
        <v>36</v>
      </c>
      <c r="L24" t="s">
        <v>26</v>
      </c>
      <c r="M24" t="s">
        <v>27</v>
      </c>
      <c r="N24" t="s">
        <v>31</v>
      </c>
      <c r="O24" t="s">
        <v>121</v>
      </c>
      <c r="P24" t="s">
        <v>122</v>
      </c>
    </row>
    <row r="25" spans="1:16" x14ac:dyDescent="0.25">
      <c r="A25" t="s">
        <v>31</v>
      </c>
      <c r="B25" t="s">
        <v>144</v>
      </c>
      <c r="C25" t="s">
        <v>145</v>
      </c>
      <c r="D25" t="s">
        <v>146</v>
      </c>
      <c r="E25" t="s">
        <v>20</v>
      </c>
      <c r="F25" t="s">
        <v>21</v>
      </c>
      <c r="G25" t="s">
        <v>22</v>
      </c>
      <c r="H25">
        <v>37987</v>
      </c>
      <c r="I25" t="s">
        <v>23</v>
      </c>
      <c r="J25" t="s">
        <v>35</v>
      </c>
      <c r="K25" t="s">
        <v>147</v>
      </c>
      <c r="L25" t="s">
        <v>26</v>
      </c>
      <c r="M25" t="s">
        <v>27</v>
      </c>
      <c r="N25" t="s">
        <v>31</v>
      </c>
      <c r="O25" t="s">
        <v>37</v>
      </c>
      <c r="P25" t="s">
        <v>148</v>
      </c>
    </row>
    <row r="26" spans="1:16" x14ac:dyDescent="0.25">
      <c r="A26" t="s">
        <v>31</v>
      </c>
      <c r="B26" t="s">
        <v>149</v>
      </c>
      <c r="C26" t="s">
        <v>150</v>
      </c>
      <c r="D26" t="s">
        <v>151</v>
      </c>
      <c r="E26" t="s">
        <v>20</v>
      </c>
      <c r="F26" t="s">
        <v>21</v>
      </c>
      <c r="G26" t="s">
        <v>22</v>
      </c>
      <c r="H26">
        <v>37987</v>
      </c>
      <c r="I26" t="s">
        <v>23</v>
      </c>
      <c r="J26" t="s">
        <v>35</v>
      </c>
      <c r="K26" t="s">
        <v>36</v>
      </c>
      <c r="L26" t="s">
        <v>26</v>
      </c>
      <c r="M26" t="s">
        <v>27</v>
      </c>
      <c r="N26" t="s">
        <v>31</v>
      </c>
      <c r="O26" t="s">
        <v>152</v>
      </c>
      <c r="P26" t="s">
        <v>153</v>
      </c>
    </row>
    <row r="27" spans="1:16" x14ac:dyDescent="0.25">
      <c r="A27" t="s">
        <v>16</v>
      </c>
      <c r="B27" t="s">
        <v>154</v>
      </c>
      <c r="C27" t="s">
        <v>155</v>
      </c>
      <c r="D27" t="s">
        <v>156</v>
      </c>
      <c r="E27" t="s">
        <v>20</v>
      </c>
      <c r="F27" t="s">
        <v>21</v>
      </c>
      <c r="G27" t="s">
        <v>22</v>
      </c>
      <c r="H27">
        <v>39083</v>
      </c>
      <c r="I27" t="s">
        <v>23</v>
      </c>
      <c r="J27" t="s">
        <v>24</v>
      </c>
      <c r="K27" t="s">
        <v>157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</row>
    <row r="28" spans="1:16" x14ac:dyDescent="0.25">
      <c r="A28" t="s">
        <v>71</v>
      </c>
      <c r="B28" t="s">
        <v>158</v>
      </c>
      <c r="C28" t="s">
        <v>159</v>
      </c>
      <c r="D28" t="s">
        <v>160</v>
      </c>
      <c r="E28" t="s">
        <v>20</v>
      </c>
      <c r="F28" t="s">
        <v>21</v>
      </c>
      <c r="G28" t="s">
        <v>22</v>
      </c>
      <c r="H28">
        <v>37987</v>
      </c>
      <c r="I28" t="s">
        <v>75</v>
      </c>
      <c r="J28" t="s">
        <v>76</v>
      </c>
      <c r="K28" t="s">
        <v>161</v>
      </c>
      <c r="L28" t="s">
        <v>26</v>
      </c>
      <c r="M28" t="s">
        <v>27</v>
      </c>
      <c r="N28" t="s">
        <v>77</v>
      </c>
      <c r="O28" t="s">
        <v>78</v>
      </c>
      <c r="P28" t="s">
        <v>162</v>
      </c>
    </row>
    <row r="29" spans="1:16" x14ac:dyDescent="0.25">
      <c r="A29" t="s">
        <v>43</v>
      </c>
      <c r="B29" t="s">
        <v>163</v>
      </c>
      <c r="C29" t="s">
        <v>164</v>
      </c>
      <c r="D29" t="s">
        <v>165</v>
      </c>
      <c r="E29" t="s">
        <v>20</v>
      </c>
      <c r="F29" t="s">
        <v>21</v>
      </c>
      <c r="G29" t="s">
        <v>60</v>
      </c>
      <c r="H29">
        <v>39814</v>
      </c>
      <c r="I29" t="s">
        <v>61</v>
      </c>
      <c r="J29" t="s">
        <v>62</v>
      </c>
      <c r="K29" t="s">
        <v>166</v>
      </c>
      <c r="L29" t="s">
        <v>26</v>
      </c>
      <c r="M29" t="s">
        <v>27</v>
      </c>
      <c r="N29" t="s">
        <v>49</v>
      </c>
      <c r="O29" t="s">
        <v>50</v>
      </c>
      <c r="P29" t="s">
        <v>51</v>
      </c>
    </row>
    <row r="30" spans="1:16" x14ac:dyDescent="0.25">
      <c r="A30" t="s">
        <v>31</v>
      </c>
      <c r="B30" t="s">
        <v>167</v>
      </c>
      <c r="C30" t="s">
        <v>168</v>
      </c>
      <c r="D30" t="s">
        <v>169</v>
      </c>
      <c r="E30" t="s">
        <v>20</v>
      </c>
      <c r="F30" t="s">
        <v>21</v>
      </c>
      <c r="G30" t="s">
        <v>22</v>
      </c>
      <c r="H30">
        <v>37987</v>
      </c>
      <c r="I30" t="s">
        <v>23</v>
      </c>
      <c r="J30" t="s">
        <v>35</v>
      </c>
      <c r="K30" t="s">
        <v>36</v>
      </c>
      <c r="L30" t="s">
        <v>26</v>
      </c>
      <c r="M30" t="s">
        <v>27</v>
      </c>
      <c r="N30" t="s">
        <v>31</v>
      </c>
      <c r="O30" t="s">
        <v>37</v>
      </c>
      <c r="P30" t="s">
        <v>170</v>
      </c>
    </row>
    <row r="31" spans="1:16" x14ac:dyDescent="0.25">
      <c r="A31" t="s">
        <v>31</v>
      </c>
      <c r="B31" t="s">
        <v>171</v>
      </c>
      <c r="C31" t="s">
        <v>172</v>
      </c>
      <c r="D31" t="s">
        <v>173</v>
      </c>
      <c r="E31" t="s">
        <v>20</v>
      </c>
      <c r="F31" t="s">
        <v>21</v>
      </c>
      <c r="G31" t="s">
        <v>22</v>
      </c>
      <c r="H31">
        <v>39814</v>
      </c>
      <c r="I31" t="s">
        <v>75</v>
      </c>
      <c r="J31" t="s">
        <v>174</v>
      </c>
      <c r="K31" t="s">
        <v>36</v>
      </c>
      <c r="L31" t="s">
        <v>26</v>
      </c>
      <c r="M31" t="s">
        <v>27</v>
      </c>
      <c r="N31" t="s">
        <v>31</v>
      </c>
      <c r="O31" t="s">
        <v>175</v>
      </c>
      <c r="P31" t="s">
        <v>176</v>
      </c>
    </row>
    <row r="32" spans="1:16" x14ac:dyDescent="0.25">
      <c r="A32" t="s">
        <v>43</v>
      </c>
      <c r="B32" t="s">
        <v>177</v>
      </c>
      <c r="C32" t="s">
        <v>178</v>
      </c>
      <c r="D32" t="s">
        <v>179</v>
      </c>
      <c r="E32" t="s">
        <v>20</v>
      </c>
      <c r="F32" t="s">
        <v>21</v>
      </c>
      <c r="G32" t="s">
        <v>60</v>
      </c>
      <c r="H32">
        <v>39814</v>
      </c>
      <c r="I32" t="s">
        <v>61</v>
      </c>
      <c r="J32" t="s">
        <v>62</v>
      </c>
      <c r="K32" t="s">
        <v>180</v>
      </c>
      <c r="L32" t="s">
        <v>26</v>
      </c>
      <c r="M32" t="s">
        <v>27</v>
      </c>
      <c r="N32" t="s">
        <v>49</v>
      </c>
      <c r="O32" t="s">
        <v>50</v>
      </c>
      <c r="P32" t="s">
        <v>51</v>
      </c>
    </row>
    <row r="33" spans="1:16" x14ac:dyDescent="0.25">
      <c r="A33" t="s">
        <v>31</v>
      </c>
      <c r="B33" t="s">
        <v>181</v>
      </c>
      <c r="C33" t="s">
        <v>90</v>
      </c>
      <c r="D33" t="s">
        <v>182</v>
      </c>
      <c r="E33" t="s">
        <v>20</v>
      </c>
      <c r="F33" t="s">
        <v>21</v>
      </c>
      <c r="G33" t="s">
        <v>22</v>
      </c>
      <c r="H33">
        <v>38718</v>
      </c>
      <c r="I33" t="s">
        <v>75</v>
      </c>
      <c r="J33" t="s">
        <v>92</v>
      </c>
      <c r="K33" t="s">
        <v>183</v>
      </c>
      <c r="L33" t="s">
        <v>26</v>
      </c>
      <c r="M33" t="s">
        <v>27</v>
      </c>
      <c r="N33" t="s">
        <v>31</v>
      </c>
      <c r="O33" t="s">
        <v>93</v>
      </c>
      <c r="P33" t="s">
        <v>94</v>
      </c>
    </row>
    <row r="34" spans="1:16" x14ac:dyDescent="0.25">
      <c r="A34" t="s">
        <v>31</v>
      </c>
      <c r="B34" t="s">
        <v>184</v>
      </c>
      <c r="C34" t="s">
        <v>185</v>
      </c>
      <c r="D34" t="s">
        <v>186</v>
      </c>
      <c r="E34" t="s">
        <v>20</v>
      </c>
      <c r="F34" t="s">
        <v>21</v>
      </c>
      <c r="G34" t="s">
        <v>22</v>
      </c>
      <c r="H34">
        <v>37987</v>
      </c>
      <c r="I34" t="s">
        <v>23</v>
      </c>
      <c r="J34" t="s">
        <v>35</v>
      </c>
      <c r="K34" t="s">
        <v>187</v>
      </c>
      <c r="L34" t="s">
        <v>26</v>
      </c>
      <c r="M34" t="s">
        <v>27</v>
      </c>
      <c r="N34" t="s">
        <v>31</v>
      </c>
      <c r="O34" t="s">
        <v>37</v>
      </c>
      <c r="P34" t="s">
        <v>188</v>
      </c>
    </row>
    <row r="35" spans="1:16" x14ac:dyDescent="0.25">
      <c r="A35" t="s">
        <v>95</v>
      </c>
      <c r="B35" t="s">
        <v>189</v>
      </c>
      <c r="C35" t="s">
        <v>190</v>
      </c>
      <c r="D35" t="s">
        <v>191</v>
      </c>
      <c r="E35" t="s">
        <v>20</v>
      </c>
      <c r="F35" t="s">
        <v>21</v>
      </c>
      <c r="G35" t="s">
        <v>22</v>
      </c>
      <c r="H35">
        <v>38718</v>
      </c>
      <c r="I35" t="s">
        <v>75</v>
      </c>
      <c r="J35" t="s">
        <v>76</v>
      </c>
      <c r="K35" t="s">
        <v>192</v>
      </c>
      <c r="L35" t="s">
        <v>26</v>
      </c>
      <c r="M35" t="s">
        <v>27</v>
      </c>
      <c r="N35" t="s">
        <v>100</v>
      </c>
      <c r="O35" t="s">
        <v>101</v>
      </c>
      <c r="P35" t="s">
        <v>193</v>
      </c>
    </row>
    <row r="36" spans="1:16" x14ac:dyDescent="0.25">
      <c r="A36" t="s">
        <v>31</v>
      </c>
      <c r="B36" t="s">
        <v>194</v>
      </c>
      <c r="C36" t="s">
        <v>195</v>
      </c>
      <c r="D36" t="s">
        <v>196</v>
      </c>
      <c r="E36" t="s">
        <v>20</v>
      </c>
      <c r="F36" t="s">
        <v>21</v>
      </c>
      <c r="G36" t="s">
        <v>22</v>
      </c>
      <c r="H36">
        <v>37987</v>
      </c>
      <c r="I36" t="s">
        <v>23</v>
      </c>
      <c r="J36" t="s">
        <v>35</v>
      </c>
      <c r="K36" t="s">
        <v>36</v>
      </c>
      <c r="L36" t="s">
        <v>26</v>
      </c>
      <c r="M36" t="s">
        <v>27</v>
      </c>
      <c r="N36" t="s">
        <v>31</v>
      </c>
      <c r="O36" t="s">
        <v>197</v>
      </c>
      <c r="P36" t="s">
        <v>198</v>
      </c>
    </row>
    <row r="37" spans="1:16" x14ac:dyDescent="0.25">
      <c r="A37" t="s">
        <v>31</v>
      </c>
      <c r="B37" t="s">
        <v>199</v>
      </c>
      <c r="C37" t="s">
        <v>200</v>
      </c>
      <c r="D37" t="s">
        <v>201</v>
      </c>
      <c r="E37" t="s">
        <v>20</v>
      </c>
      <c r="F37" t="s">
        <v>21</v>
      </c>
      <c r="G37" t="s">
        <v>22</v>
      </c>
      <c r="H37">
        <v>37987</v>
      </c>
      <c r="I37" t="s">
        <v>23</v>
      </c>
      <c r="J37" t="s">
        <v>35</v>
      </c>
      <c r="K37" t="s">
        <v>202</v>
      </c>
      <c r="L37" t="s">
        <v>26</v>
      </c>
      <c r="M37" t="s">
        <v>27</v>
      </c>
      <c r="N37" t="s">
        <v>31</v>
      </c>
      <c r="O37" t="s">
        <v>37</v>
      </c>
      <c r="P37" t="s">
        <v>203</v>
      </c>
    </row>
    <row r="38" spans="1:16" x14ac:dyDescent="0.25">
      <c r="A38" t="s">
        <v>43</v>
      </c>
      <c r="B38" t="s">
        <v>204</v>
      </c>
      <c r="C38" t="s">
        <v>205</v>
      </c>
      <c r="D38" t="s">
        <v>206</v>
      </c>
      <c r="E38" t="s">
        <v>20</v>
      </c>
      <c r="F38" t="s">
        <v>21</v>
      </c>
      <c r="G38" t="s">
        <v>22</v>
      </c>
      <c r="H38">
        <v>39814</v>
      </c>
      <c r="I38" t="s">
        <v>61</v>
      </c>
      <c r="J38" t="s">
        <v>62</v>
      </c>
      <c r="K38" t="s">
        <v>207</v>
      </c>
      <c r="L38" t="s">
        <v>26</v>
      </c>
      <c r="M38" t="s">
        <v>27</v>
      </c>
      <c r="N38" t="s">
        <v>49</v>
      </c>
      <c r="O38" t="s">
        <v>50</v>
      </c>
      <c r="P38" t="s">
        <v>51</v>
      </c>
    </row>
    <row r="39" spans="1:16" x14ac:dyDescent="0.25">
      <c r="A39" t="s">
        <v>43</v>
      </c>
      <c r="B39" t="s">
        <v>204</v>
      </c>
      <c r="C39" t="s">
        <v>205</v>
      </c>
      <c r="D39" t="s">
        <v>206</v>
      </c>
      <c r="E39" t="s">
        <v>20</v>
      </c>
      <c r="F39" t="s">
        <v>21</v>
      </c>
      <c r="G39" t="s">
        <v>22</v>
      </c>
      <c r="H39">
        <v>36892</v>
      </c>
      <c r="I39" t="s">
        <v>23</v>
      </c>
      <c r="J39" t="s">
        <v>47</v>
      </c>
      <c r="K39" t="s">
        <v>207</v>
      </c>
      <c r="L39" t="s">
        <v>26</v>
      </c>
      <c r="M39" t="s">
        <v>27</v>
      </c>
      <c r="N39" t="s">
        <v>49</v>
      </c>
      <c r="O39" t="s">
        <v>50</v>
      </c>
      <c r="P39" t="s">
        <v>51</v>
      </c>
    </row>
    <row r="40" spans="1:16" x14ac:dyDescent="0.25">
      <c r="A40" t="s">
        <v>16</v>
      </c>
      <c r="B40" t="s">
        <v>208</v>
      </c>
      <c r="C40" t="s">
        <v>209</v>
      </c>
      <c r="D40" t="s">
        <v>210</v>
      </c>
      <c r="E40" t="s">
        <v>20</v>
      </c>
      <c r="F40" t="s">
        <v>21</v>
      </c>
      <c r="G40" t="s">
        <v>22</v>
      </c>
      <c r="H40">
        <v>39083</v>
      </c>
      <c r="I40" t="s">
        <v>23</v>
      </c>
      <c r="J40" t="s">
        <v>24</v>
      </c>
      <c r="K40" t="s">
        <v>211</v>
      </c>
      <c r="L40" t="s">
        <v>26</v>
      </c>
      <c r="M40" t="s">
        <v>27</v>
      </c>
      <c r="N40" t="s">
        <v>28</v>
      </c>
      <c r="O40" t="s">
        <v>55</v>
      </c>
      <c r="P40" t="s">
        <v>212</v>
      </c>
    </row>
    <row r="41" spans="1:16" x14ac:dyDescent="0.25">
      <c r="A41" t="s">
        <v>31</v>
      </c>
      <c r="B41" t="s">
        <v>213</v>
      </c>
      <c r="C41" t="s">
        <v>214</v>
      </c>
      <c r="D41" t="s">
        <v>215</v>
      </c>
      <c r="E41" t="s">
        <v>20</v>
      </c>
      <c r="F41" t="s">
        <v>21</v>
      </c>
      <c r="G41" t="s">
        <v>22</v>
      </c>
      <c r="H41">
        <v>37987</v>
      </c>
      <c r="I41" t="s">
        <v>23</v>
      </c>
      <c r="J41" t="s">
        <v>35</v>
      </c>
      <c r="K41" t="s">
        <v>36</v>
      </c>
      <c r="L41" t="s">
        <v>26</v>
      </c>
      <c r="M41" t="s">
        <v>27</v>
      </c>
      <c r="N41" t="s">
        <v>31</v>
      </c>
      <c r="O41" t="s">
        <v>37</v>
      </c>
      <c r="P41" t="s">
        <v>216</v>
      </c>
    </row>
    <row r="42" spans="1:16" x14ac:dyDescent="0.25">
      <c r="A42" t="s">
        <v>31</v>
      </c>
      <c r="B42" t="s">
        <v>217</v>
      </c>
      <c r="C42" t="s">
        <v>168</v>
      </c>
      <c r="D42" t="s">
        <v>218</v>
      </c>
      <c r="E42" t="s">
        <v>20</v>
      </c>
      <c r="F42" t="s">
        <v>21</v>
      </c>
      <c r="G42" t="s">
        <v>22</v>
      </c>
      <c r="H42">
        <v>37987</v>
      </c>
      <c r="I42" t="s">
        <v>23</v>
      </c>
      <c r="J42" t="s">
        <v>35</v>
      </c>
      <c r="K42" t="s">
        <v>219</v>
      </c>
      <c r="L42" t="s">
        <v>26</v>
      </c>
      <c r="M42" t="s">
        <v>27</v>
      </c>
      <c r="N42" t="s">
        <v>31</v>
      </c>
      <c r="O42" t="s">
        <v>37</v>
      </c>
      <c r="P42" t="s">
        <v>170</v>
      </c>
    </row>
    <row r="43" spans="1:16" x14ac:dyDescent="0.25">
      <c r="A43" t="s">
        <v>31</v>
      </c>
      <c r="B43" t="s">
        <v>220</v>
      </c>
      <c r="C43" t="s">
        <v>221</v>
      </c>
      <c r="D43" t="s">
        <v>222</v>
      </c>
      <c r="E43" t="s">
        <v>20</v>
      </c>
      <c r="F43" t="s">
        <v>21</v>
      </c>
      <c r="G43" t="s">
        <v>22</v>
      </c>
      <c r="H43">
        <v>37987</v>
      </c>
      <c r="I43" t="s">
        <v>23</v>
      </c>
      <c r="J43" t="s">
        <v>35</v>
      </c>
      <c r="K43" t="s">
        <v>219</v>
      </c>
      <c r="L43" t="s">
        <v>26</v>
      </c>
      <c r="M43" t="s">
        <v>27</v>
      </c>
      <c r="N43" t="s">
        <v>31</v>
      </c>
      <c r="O43" t="s">
        <v>37</v>
      </c>
      <c r="P43" t="s">
        <v>223</v>
      </c>
    </row>
    <row r="44" spans="1:16" x14ac:dyDescent="0.25">
      <c r="A44" t="s">
        <v>31</v>
      </c>
      <c r="B44" t="s">
        <v>224</v>
      </c>
      <c r="C44" t="s">
        <v>225</v>
      </c>
      <c r="D44" t="s">
        <v>226</v>
      </c>
      <c r="E44" t="s">
        <v>20</v>
      </c>
      <c r="F44" t="s">
        <v>21</v>
      </c>
      <c r="G44" t="s">
        <v>22</v>
      </c>
      <c r="H44">
        <v>37987</v>
      </c>
      <c r="I44" t="s">
        <v>23</v>
      </c>
      <c r="J44" t="s">
        <v>35</v>
      </c>
      <c r="K44" t="s">
        <v>36</v>
      </c>
      <c r="L44" t="s">
        <v>26</v>
      </c>
      <c r="M44" t="s">
        <v>27</v>
      </c>
      <c r="N44" t="s">
        <v>31</v>
      </c>
      <c r="O44" t="s">
        <v>37</v>
      </c>
      <c r="P44" t="s">
        <v>216</v>
      </c>
    </row>
    <row r="45" spans="1:16" x14ac:dyDescent="0.25">
      <c r="A45" t="s">
        <v>31</v>
      </c>
      <c r="B45" t="s">
        <v>227</v>
      </c>
      <c r="C45" t="s">
        <v>90</v>
      </c>
      <c r="D45" t="s">
        <v>228</v>
      </c>
      <c r="E45" t="s">
        <v>20</v>
      </c>
      <c r="F45" t="s">
        <v>21</v>
      </c>
      <c r="G45" t="s">
        <v>22</v>
      </c>
      <c r="H45">
        <v>38718</v>
      </c>
      <c r="I45" t="s">
        <v>75</v>
      </c>
      <c r="J45" t="s">
        <v>92</v>
      </c>
      <c r="K45" t="s">
        <v>36</v>
      </c>
      <c r="L45" t="s">
        <v>26</v>
      </c>
      <c r="M45" t="s">
        <v>27</v>
      </c>
      <c r="N45" t="s">
        <v>31</v>
      </c>
      <c r="O45" t="s">
        <v>93</v>
      </c>
      <c r="P45" t="s">
        <v>94</v>
      </c>
    </row>
    <row r="46" spans="1:16" x14ac:dyDescent="0.25">
      <c r="A46" t="s">
        <v>31</v>
      </c>
      <c r="B46" t="s">
        <v>229</v>
      </c>
      <c r="C46" t="s">
        <v>230</v>
      </c>
      <c r="D46" t="s">
        <v>231</v>
      </c>
      <c r="E46" t="s">
        <v>20</v>
      </c>
      <c r="F46" t="s">
        <v>21</v>
      </c>
      <c r="G46" t="s">
        <v>22</v>
      </c>
      <c r="H46">
        <v>37987</v>
      </c>
      <c r="I46" t="s">
        <v>23</v>
      </c>
      <c r="J46" t="s">
        <v>35</v>
      </c>
      <c r="K46" t="s">
        <v>232</v>
      </c>
      <c r="L46" t="s">
        <v>26</v>
      </c>
      <c r="M46" t="s">
        <v>27</v>
      </c>
      <c r="N46" t="s">
        <v>31</v>
      </c>
      <c r="O46" t="s">
        <v>37</v>
      </c>
      <c r="P46" t="s">
        <v>148</v>
      </c>
    </row>
    <row r="47" spans="1:16" x14ac:dyDescent="0.25">
      <c r="A47" t="s">
        <v>31</v>
      </c>
      <c r="B47" t="s">
        <v>233</v>
      </c>
      <c r="C47" t="s">
        <v>234</v>
      </c>
      <c r="D47" t="s">
        <v>235</v>
      </c>
      <c r="E47" t="s">
        <v>20</v>
      </c>
      <c r="F47" t="s">
        <v>21</v>
      </c>
      <c r="G47" t="s">
        <v>22</v>
      </c>
      <c r="H47">
        <v>37987</v>
      </c>
      <c r="I47" t="s">
        <v>23</v>
      </c>
      <c r="J47" t="s">
        <v>35</v>
      </c>
      <c r="K47" t="s">
        <v>36</v>
      </c>
      <c r="L47" t="s">
        <v>26</v>
      </c>
      <c r="M47" t="s">
        <v>27</v>
      </c>
      <c r="N47" t="s">
        <v>31</v>
      </c>
      <c r="O47" t="s">
        <v>37</v>
      </c>
      <c r="P47" t="s">
        <v>236</v>
      </c>
    </row>
    <row r="48" spans="1:16" x14ac:dyDescent="0.25">
      <c r="A48" t="s">
        <v>31</v>
      </c>
      <c r="B48" t="s">
        <v>237</v>
      </c>
      <c r="C48" t="s">
        <v>238</v>
      </c>
      <c r="D48" t="s">
        <v>239</v>
      </c>
      <c r="E48" t="s">
        <v>20</v>
      </c>
      <c r="F48" t="s">
        <v>21</v>
      </c>
      <c r="G48" t="s">
        <v>22</v>
      </c>
      <c r="H48">
        <v>37987</v>
      </c>
      <c r="I48" t="s">
        <v>23</v>
      </c>
      <c r="J48" t="s">
        <v>35</v>
      </c>
      <c r="K48" t="s">
        <v>36</v>
      </c>
      <c r="L48" t="s">
        <v>26</v>
      </c>
      <c r="M48" t="s">
        <v>27</v>
      </c>
      <c r="N48" t="s">
        <v>31</v>
      </c>
      <c r="O48" t="s">
        <v>37</v>
      </c>
      <c r="P48" t="s">
        <v>240</v>
      </c>
    </row>
    <row r="49" spans="1:16" x14ac:dyDescent="0.25">
      <c r="A49" t="s">
        <v>16</v>
      </c>
      <c r="B49" t="s">
        <v>241</v>
      </c>
      <c r="C49" t="s">
        <v>242</v>
      </c>
      <c r="D49" t="s">
        <v>243</v>
      </c>
      <c r="E49" t="s">
        <v>20</v>
      </c>
      <c r="F49" t="s">
        <v>21</v>
      </c>
      <c r="G49" t="s">
        <v>22</v>
      </c>
      <c r="H49">
        <v>39083</v>
      </c>
      <c r="I49" t="s">
        <v>23</v>
      </c>
      <c r="J49" t="s">
        <v>24</v>
      </c>
      <c r="K49" t="s">
        <v>207</v>
      </c>
      <c r="L49" t="s">
        <v>26</v>
      </c>
      <c r="M49" t="s">
        <v>27</v>
      </c>
      <c r="N49" t="s">
        <v>28</v>
      </c>
      <c r="O49" t="s">
        <v>244</v>
      </c>
      <c r="P49" t="s">
        <v>245</v>
      </c>
    </row>
    <row r="50" spans="1:16" x14ac:dyDescent="0.25">
      <c r="A50" t="s">
        <v>31</v>
      </c>
      <c r="B50" t="s">
        <v>246</v>
      </c>
      <c r="C50" t="s">
        <v>247</v>
      </c>
      <c r="D50" t="s">
        <v>248</v>
      </c>
      <c r="E50" t="s">
        <v>20</v>
      </c>
      <c r="F50" t="s">
        <v>21</v>
      </c>
      <c r="G50" t="s">
        <v>22</v>
      </c>
      <c r="H50">
        <v>37987</v>
      </c>
      <c r="I50" t="s">
        <v>23</v>
      </c>
      <c r="J50" t="s">
        <v>35</v>
      </c>
      <c r="K50" t="s">
        <v>36</v>
      </c>
      <c r="L50" t="s">
        <v>26</v>
      </c>
      <c r="M50" t="s">
        <v>27</v>
      </c>
      <c r="N50" t="s">
        <v>31</v>
      </c>
      <c r="O50" t="s">
        <v>37</v>
      </c>
      <c r="P50" t="s">
        <v>249</v>
      </c>
    </row>
    <row r="51" spans="1:16" x14ac:dyDescent="0.25">
      <c r="A51" t="s">
        <v>16</v>
      </c>
      <c r="B51" t="s">
        <v>250</v>
      </c>
      <c r="C51" t="s">
        <v>251</v>
      </c>
      <c r="D51" t="s">
        <v>252</v>
      </c>
      <c r="E51" t="s">
        <v>20</v>
      </c>
      <c r="F51" t="s">
        <v>21</v>
      </c>
      <c r="G51" t="s">
        <v>22</v>
      </c>
      <c r="H51">
        <v>39083</v>
      </c>
      <c r="I51" t="s">
        <v>23</v>
      </c>
      <c r="J51" t="s">
        <v>24</v>
      </c>
      <c r="K51" t="s">
        <v>253</v>
      </c>
      <c r="L51" t="s">
        <v>26</v>
      </c>
      <c r="M51" t="s">
        <v>27</v>
      </c>
      <c r="N51" t="s">
        <v>28</v>
      </c>
      <c r="O51" t="s">
        <v>254</v>
      </c>
      <c r="P51" t="s">
        <v>255</v>
      </c>
    </row>
    <row r="52" spans="1:16" x14ac:dyDescent="0.25">
      <c r="A52" t="s">
        <v>71</v>
      </c>
      <c r="B52" t="s">
        <v>609</v>
      </c>
      <c r="C52" t="s">
        <v>256</v>
      </c>
      <c r="D52" t="s">
        <v>257</v>
      </c>
      <c r="E52" t="s">
        <v>20</v>
      </c>
      <c r="F52" t="s">
        <v>21</v>
      </c>
      <c r="G52" t="s">
        <v>22</v>
      </c>
      <c r="H52">
        <v>36892</v>
      </c>
      <c r="I52" t="s">
        <v>75</v>
      </c>
      <c r="J52" t="s">
        <v>76</v>
      </c>
      <c r="K52" t="s">
        <v>258</v>
      </c>
      <c r="L52" t="s">
        <v>26</v>
      </c>
      <c r="M52" t="s">
        <v>27</v>
      </c>
      <c r="N52" t="s">
        <v>77</v>
      </c>
      <c r="O52" t="s">
        <v>78</v>
      </c>
      <c r="P52" t="s">
        <v>79</v>
      </c>
    </row>
    <row r="53" spans="1:16" x14ac:dyDescent="0.25">
      <c r="A53" t="s">
        <v>31</v>
      </c>
      <c r="B53" t="s">
        <v>259</v>
      </c>
      <c r="C53" t="s">
        <v>118</v>
      </c>
      <c r="D53" t="s">
        <v>260</v>
      </c>
      <c r="E53" t="s">
        <v>20</v>
      </c>
      <c r="F53" t="s">
        <v>21</v>
      </c>
      <c r="G53" t="s">
        <v>22</v>
      </c>
      <c r="H53">
        <v>37987</v>
      </c>
      <c r="I53" t="s">
        <v>23</v>
      </c>
      <c r="J53" t="s">
        <v>35</v>
      </c>
      <c r="K53" t="s">
        <v>36</v>
      </c>
      <c r="L53" t="s">
        <v>26</v>
      </c>
      <c r="M53" t="s">
        <v>27</v>
      </c>
      <c r="N53" t="s">
        <v>31</v>
      </c>
      <c r="O53" t="s">
        <v>121</v>
      </c>
      <c r="P53" t="s">
        <v>122</v>
      </c>
    </row>
    <row r="54" spans="1:16" x14ac:dyDescent="0.25">
      <c r="A54" t="s">
        <v>31</v>
      </c>
      <c r="B54" t="s">
        <v>261</v>
      </c>
      <c r="C54" t="s">
        <v>262</v>
      </c>
      <c r="D54" t="s">
        <v>263</v>
      </c>
      <c r="E54" t="s">
        <v>20</v>
      </c>
      <c r="F54" t="s">
        <v>21</v>
      </c>
      <c r="G54" t="s">
        <v>22</v>
      </c>
      <c r="H54">
        <v>37987</v>
      </c>
      <c r="I54" t="s">
        <v>23</v>
      </c>
      <c r="J54" t="s">
        <v>35</v>
      </c>
      <c r="K54" t="s">
        <v>141</v>
      </c>
      <c r="L54" t="s">
        <v>26</v>
      </c>
      <c r="M54" t="s">
        <v>27</v>
      </c>
      <c r="N54" t="s">
        <v>31</v>
      </c>
      <c r="O54" t="s">
        <v>37</v>
      </c>
      <c r="P54" t="s">
        <v>148</v>
      </c>
    </row>
    <row r="55" spans="1:16" x14ac:dyDescent="0.25">
      <c r="A55" t="s">
        <v>31</v>
      </c>
      <c r="B55" t="s">
        <v>264</v>
      </c>
      <c r="C55" t="s">
        <v>262</v>
      </c>
      <c r="D55" t="s">
        <v>265</v>
      </c>
      <c r="E55" t="s">
        <v>20</v>
      </c>
      <c r="F55" t="s">
        <v>21</v>
      </c>
      <c r="G55" t="s">
        <v>22</v>
      </c>
      <c r="H55">
        <v>37987</v>
      </c>
      <c r="I55" t="s">
        <v>23</v>
      </c>
      <c r="J55" t="s">
        <v>35</v>
      </c>
      <c r="K55" t="s">
        <v>266</v>
      </c>
      <c r="L55" t="s">
        <v>26</v>
      </c>
      <c r="M55" t="s">
        <v>27</v>
      </c>
      <c r="N55" t="s">
        <v>31</v>
      </c>
      <c r="O55" t="s">
        <v>37</v>
      </c>
      <c r="P55" t="s">
        <v>148</v>
      </c>
    </row>
    <row r="56" spans="1:16" x14ac:dyDescent="0.25">
      <c r="A56" t="s">
        <v>31</v>
      </c>
      <c r="B56" t="s">
        <v>267</v>
      </c>
      <c r="C56" t="s">
        <v>268</v>
      </c>
      <c r="D56" t="s">
        <v>269</v>
      </c>
      <c r="E56" t="s">
        <v>20</v>
      </c>
      <c r="F56" t="s">
        <v>21</v>
      </c>
      <c r="G56" t="s">
        <v>22</v>
      </c>
      <c r="H56">
        <v>37987</v>
      </c>
      <c r="I56" t="s">
        <v>23</v>
      </c>
      <c r="J56" t="s">
        <v>35</v>
      </c>
      <c r="K56" t="s">
        <v>219</v>
      </c>
      <c r="L56" t="s">
        <v>26</v>
      </c>
      <c r="M56" t="s">
        <v>27</v>
      </c>
      <c r="N56" t="s">
        <v>31</v>
      </c>
      <c r="O56" t="s">
        <v>37</v>
      </c>
      <c r="P56" t="s">
        <v>148</v>
      </c>
    </row>
    <row r="57" spans="1:16" x14ac:dyDescent="0.25">
      <c r="A57" t="s">
        <v>16</v>
      </c>
      <c r="B57" t="s">
        <v>270</v>
      </c>
      <c r="C57" t="s">
        <v>271</v>
      </c>
      <c r="D57" t="s">
        <v>272</v>
      </c>
      <c r="E57" t="s">
        <v>20</v>
      </c>
      <c r="F57" t="s">
        <v>21</v>
      </c>
      <c r="G57" t="s">
        <v>22</v>
      </c>
      <c r="H57">
        <v>39083</v>
      </c>
      <c r="I57" t="s">
        <v>23</v>
      </c>
      <c r="J57" t="s">
        <v>24</v>
      </c>
      <c r="K57" t="s">
        <v>42</v>
      </c>
      <c r="L57" t="s">
        <v>26</v>
      </c>
      <c r="M57" t="s">
        <v>27</v>
      </c>
      <c r="N57" t="s">
        <v>28</v>
      </c>
      <c r="O57" t="s">
        <v>55</v>
      </c>
      <c r="P57" t="s">
        <v>273</v>
      </c>
    </row>
    <row r="58" spans="1:16" x14ac:dyDescent="0.25">
      <c r="A58" t="s">
        <v>16</v>
      </c>
      <c r="B58" t="s">
        <v>274</v>
      </c>
      <c r="C58" t="s">
        <v>275</v>
      </c>
      <c r="D58" t="s">
        <v>276</v>
      </c>
      <c r="E58" t="s">
        <v>20</v>
      </c>
      <c r="F58" t="s">
        <v>21</v>
      </c>
      <c r="G58" t="s">
        <v>22</v>
      </c>
      <c r="H58">
        <v>39083</v>
      </c>
      <c r="I58" t="s">
        <v>23</v>
      </c>
      <c r="J58" t="s">
        <v>24</v>
      </c>
      <c r="K58" t="s">
        <v>277</v>
      </c>
      <c r="L58" t="s">
        <v>26</v>
      </c>
      <c r="M58" t="s">
        <v>27</v>
      </c>
      <c r="N58" t="s">
        <v>28</v>
      </c>
      <c r="O58" t="s">
        <v>69</v>
      </c>
      <c r="P58" t="s">
        <v>70</v>
      </c>
    </row>
    <row r="59" spans="1:16" x14ac:dyDescent="0.25">
      <c r="A59" t="s">
        <v>31</v>
      </c>
      <c r="B59" t="s">
        <v>278</v>
      </c>
      <c r="C59" t="s">
        <v>279</v>
      </c>
      <c r="D59" t="s">
        <v>280</v>
      </c>
      <c r="E59" t="s">
        <v>20</v>
      </c>
      <c r="F59" t="s">
        <v>21</v>
      </c>
      <c r="G59" t="s">
        <v>22</v>
      </c>
      <c r="H59">
        <v>37987</v>
      </c>
      <c r="I59" t="s">
        <v>23</v>
      </c>
      <c r="J59" t="s">
        <v>35</v>
      </c>
      <c r="K59" t="s">
        <v>281</v>
      </c>
      <c r="L59" t="s">
        <v>26</v>
      </c>
      <c r="M59" t="s">
        <v>27</v>
      </c>
      <c r="N59" t="s">
        <v>31</v>
      </c>
      <c r="O59" t="s">
        <v>121</v>
      </c>
      <c r="P59" t="s">
        <v>122</v>
      </c>
    </row>
    <row r="60" spans="1:16" x14ac:dyDescent="0.25">
      <c r="A60" t="s">
        <v>16</v>
      </c>
      <c r="B60" t="s">
        <v>282</v>
      </c>
      <c r="C60" t="s">
        <v>18</v>
      </c>
      <c r="D60" t="s">
        <v>283</v>
      </c>
      <c r="E60" t="s">
        <v>20</v>
      </c>
      <c r="F60" t="s">
        <v>21</v>
      </c>
      <c r="G60" t="s">
        <v>22</v>
      </c>
      <c r="H60">
        <v>39083</v>
      </c>
      <c r="I60" t="s">
        <v>23</v>
      </c>
      <c r="J60" t="s">
        <v>24</v>
      </c>
      <c r="K60" t="s">
        <v>42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</row>
    <row r="61" spans="1:16" x14ac:dyDescent="0.25">
      <c r="A61" t="s">
        <v>43</v>
      </c>
      <c r="B61" t="s">
        <v>284</v>
      </c>
      <c r="C61" t="s">
        <v>164</v>
      </c>
      <c r="D61" t="s">
        <v>285</v>
      </c>
      <c r="E61" t="s">
        <v>20</v>
      </c>
      <c r="F61" t="s">
        <v>21</v>
      </c>
      <c r="G61" t="s">
        <v>60</v>
      </c>
      <c r="H61">
        <v>39814</v>
      </c>
      <c r="I61" t="s">
        <v>61</v>
      </c>
      <c r="J61" t="s">
        <v>62</v>
      </c>
      <c r="K61" t="s">
        <v>134</v>
      </c>
      <c r="L61" t="s">
        <v>26</v>
      </c>
      <c r="M61" t="s">
        <v>27</v>
      </c>
      <c r="N61" t="s">
        <v>49</v>
      </c>
      <c r="O61" t="s">
        <v>50</v>
      </c>
      <c r="P61" t="s">
        <v>51</v>
      </c>
    </row>
    <row r="62" spans="1:16" x14ac:dyDescent="0.25">
      <c r="A62" t="s">
        <v>31</v>
      </c>
      <c r="B62" t="s">
        <v>286</v>
      </c>
      <c r="C62" t="s">
        <v>287</v>
      </c>
      <c r="D62" t="s">
        <v>288</v>
      </c>
      <c r="E62" t="s">
        <v>20</v>
      </c>
      <c r="F62" t="s">
        <v>21</v>
      </c>
      <c r="G62" t="s">
        <v>22</v>
      </c>
      <c r="H62">
        <v>37987</v>
      </c>
      <c r="I62" t="s">
        <v>23</v>
      </c>
      <c r="J62" t="s">
        <v>35</v>
      </c>
      <c r="K62" t="s">
        <v>36</v>
      </c>
      <c r="L62" t="s">
        <v>26</v>
      </c>
      <c r="M62" t="s">
        <v>27</v>
      </c>
      <c r="N62" t="s">
        <v>31</v>
      </c>
      <c r="O62" t="s">
        <v>37</v>
      </c>
      <c r="P62" t="s">
        <v>289</v>
      </c>
    </row>
    <row r="63" spans="1:16" x14ac:dyDescent="0.25">
      <c r="A63" t="s">
        <v>31</v>
      </c>
      <c r="B63" t="s">
        <v>290</v>
      </c>
      <c r="C63" t="s">
        <v>287</v>
      </c>
      <c r="D63" t="s">
        <v>196</v>
      </c>
      <c r="E63" t="s">
        <v>20</v>
      </c>
      <c r="F63" t="s">
        <v>21</v>
      </c>
      <c r="G63" t="s">
        <v>22</v>
      </c>
      <c r="H63">
        <v>37987</v>
      </c>
      <c r="I63" t="s">
        <v>23</v>
      </c>
      <c r="J63" t="s">
        <v>35</v>
      </c>
      <c r="K63" t="s">
        <v>36</v>
      </c>
      <c r="L63" t="s">
        <v>26</v>
      </c>
      <c r="M63" t="s">
        <v>27</v>
      </c>
      <c r="N63" t="s">
        <v>31</v>
      </c>
      <c r="O63" t="s">
        <v>37</v>
      </c>
      <c r="P63" t="s">
        <v>289</v>
      </c>
    </row>
    <row r="64" spans="1:16" x14ac:dyDescent="0.25">
      <c r="A64" t="s">
        <v>16</v>
      </c>
      <c r="B64" t="s">
        <v>291</v>
      </c>
      <c r="C64" t="s">
        <v>292</v>
      </c>
      <c r="D64" t="s">
        <v>293</v>
      </c>
      <c r="E64" t="s">
        <v>20</v>
      </c>
      <c r="F64" t="s">
        <v>21</v>
      </c>
      <c r="G64" t="s">
        <v>22</v>
      </c>
      <c r="H64">
        <v>39083</v>
      </c>
      <c r="I64" t="s">
        <v>23</v>
      </c>
      <c r="J64" t="s">
        <v>24</v>
      </c>
      <c r="K64" t="s">
        <v>294</v>
      </c>
      <c r="L64" t="s">
        <v>26</v>
      </c>
      <c r="M64" t="s">
        <v>27</v>
      </c>
      <c r="N64" t="s">
        <v>28</v>
      </c>
      <c r="O64" t="s">
        <v>55</v>
      </c>
      <c r="P64" t="s">
        <v>212</v>
      </c>
    </row>
    <row r="65" spans="1:16" x14ac:dyDescent="0.25">
      <c r="A65" t="s">
        <v>31</v>
      </c>
      <c r="B65" t="s">
        <v>295</v>
      </c>
      <c r="C65" t="s">
        <v>296</v>
      </c>
      <c r="D65" t="s">
        <v>297</v>
      </c>
      <c r="E65" t="s">
        <v>20</v>
      </c>
      <c r="F65" t="s">
        <v>21</v>
      </c>
      <c r="G65" t="s">
        <v>22</v>
      </c>
      <c r="H65">
        <v>37987</v>
      </c>
      <c r="I65" t="s">
        <v>23</v>
      </c>
      <c r="J65" t="s">
        <v>35</v>
      </c>
      <c r="K65" t="s">
        <v>36</v>
      </c>
      <c r="L65" t="s">
        <v>26</v>
      </c>
      <c r="M65" t="s">
        <v>27</v>
      </c>
      <c r="N65" t="s">
        <v>31</v>
      </c>
      <c r="O65" t="s">
        <v>37</v>
      </c>
      <c r="P65" t="s">
        <v>88</v>
      </c>
    </row>
    <row r="66" spans="1:16" x14ac:dyDescent="0.25">
      <c r="A66" t="s">
        <v>31</v>
      </c>
      <c r="B66" t="s">
        <v>298</v>
      </c>
      <c r="C66" t="s">
        <v>279</v>
      </c>
      <c r="D66" t="s">
        <v>299</v>
      </c>
      <c r="E66" t="s">
        <v>20</v>
      </c>
      <c r="F66" t="s">
        <v>21</v>
      </c>
      <c r="G66" t="s">
        <v>22</v>
      </c>
      <c r="H66">
        <v>37987</v>
      </c>
      <c r="I66" t="s">
        <v>23</v>
      </c>
      <c r="J66" t="s">
        <v>35</v>
      </c>
      <c r="K66" t="s">
        <v>36</v>
      </c>
      <c r="L66" t="s">
        <v>26</v>
      </c>
      <c r="M66" t="s">
        <v>27</v>
      </c>
      <c r="N66" t="s">
        <v>31</v>
      </c>
      <c r="O66" t="s">
        <v>121</v>
      </c>
      <c r="P66" t="s">
        <v>122</v>
      </c>
    </row>
    <row r="67" spans="1:16" x14ac:dyDescent="0.25">
      <c r="A67" t="s">
        <v>43</v>
      </c>
      <c r="B67" t="s">
        <v>300</v>
      </c>
      <c r="C67" t="s">
        <v>301</v>
      </c>
      <c r="D67" t="s">
        <v>302</v>
      </c>
      <c r="E67" t="s">
        <v>20</v>
      </c>
      <c r="F67" t="s">
        <v>21</v>
      </c>
      <c r="G67" t="s">
        <v>22</v>
      </c>
      <c r="H67">
        <v>36892</v>
      </c>
      <c r="I67" t="s">
        <v>23</v>
      </c>
      <c r="J67" t="s">
        <v>47</v>
      </c>
      <c r="K67" t="s">
        <v>42</v>
      </c>
      <c r="L67" t="s">
        <v>26</v>
      </c>
      <c r="M67" t="s">
        <v>27</v>
      </c>
      <c r="N67" t="s">
        <v>49</v>
      </c>
      <c r="O67" t="s">
        <v>50</v>
      </c>
      <c r="P67" t="s">
        <v>51</v>
      </c>
    </row>
    <row r="68" spans="1:16" x14ac:dyDescent="0.25">
      <c r="A68" t="s">
        <v>31</v>
      </c>
      <c r="B68" t="s">
        <v>303</v>
      </c>
      <c r="C68" t="s">
        <v>304</v>
      </c>
      <c r="D68" t="s">
        <v>305</v>
      </c>
      <c r="E68" t="s">
        <v>20</v>
      </c>
      <c r="F68" t="s">
        <v>21</v>
      </c>
      <c r="G68" t="s">
        <v>22</v>
      </c>
      <c r="H68">
        <v>37987</v>
      </c>
      <c r="I68" t="s">
        <v>23</v>
      </c>
      <c r="J68" t="s">
        <v>35</v>
      </c>
      <c r="K68" t="s">
        <v>306</v>
      </c>
      <c r="L68" t="s">
        <v>26</v>
      </c>
      <c r="M68" t="s">
        <v>27</v>
      </c>
      <c r="N68" t="s">
        <v>31</v>
      </c>
      <c r="O68" t="s">
        <v>37</v>
      </c>
      <c r="P68" t="s">
        <v>148</v>
      </c>
    </row>
    <row r="69" spans="1:16" x14ac:dyDescent="0.25">
      <c r="A69" t="s">
        <v>31</v>
      </c>
      <c r="B69" t="s">
        <v>307</v>
      </c>
      <c r="C69" t="s">
        <v>168</v>
      </c>
      <c r="D69" t="s">
        <v>308</v>
      </c>
      <c r="E69" t="s">
        <v>20</v>
      </c>
      <c r="F69" t="s">
        <v>21</v>
      </c>
      <c r="G69" t="s">
        <v>22</v>
      </c>
      <c r="H69">
        <v>37987</v>
      </c>
      <c r="I69" t="s">
        <v>23</v>
      </c>
      <c r="J69" t="s">
        <v>35</v>
      </c>
      <c r="K69" t="s">
        <v>36</v>
      </c>
      <c r="L69" t="s">
        <v>26</v>
      </c>
      <c r="M69" t="s">
        <v>27</v>
      </c>
      <c r="N69" t="s">
        <v>31</v>
      </c>
      <c r="O69" t="s">
        <v>37</v>
      </c>
      <c r="P69" t="s">
        <v>170</v>
      </c>
    </row>
    <row r="70" spans="1:16" x14ac:dyDescent="0.25">
      <c r="A70" t="s">
        <v>31</v>
      </c>
      <c r="B70" t="s">
        <v>309</v>
      </c>
      <c r="C70" t="s">
        <v>310</v>
      </c>
      <c r="D70" t="s">
        <v>311</v>
      </c>
      <c r="E70" t="s">
        <v>20</v>
      </c>
      <c r="F70" t="s">
        <v>21</v>
      </c>
      <c r="G70" t="s">
        <v>22</v>
      </c>
      <c r="H70">
        <v>37987</v>
      </c>
      <c r="I70" t="s">
        <v>23</v>
      </c>
      <c r="J70" t="s">
        <v>35</v>
      </c>
      <c r="K70" t="s">
        <v>312</v>
      </c>
      <c r="L70" t="s">
        <v>26</v>
      </c>
      <c r="M70" t="s">
        <v>27</v>
      </c>
      <c r="N70" t="s">
        <v>31</v>
      </c>
      <c r="O70" t="s">
        <v>152</v>
      </c>
      <c r="P70" t="s">
        <v>313</v>
      </c>
    </row>
    <row r="71" spans="1:16" x14ac:dyDescent="0.25">
      <c r="A71" t="s">
        <v>31</v>
      </c>
      <c r="B71" t="s">
        <v>314</v>
      </c>
      <c r="C71" t="s">
        <v>304</v>
      </c>
      <c r="D71" t="s">
        <v>315</v>
      </c>
      <c r="E71" t="s">
        <v>20</v>
      </c>
      <c r="F71" t="s">
        <v>21</v>
      </c>
      <c r="G71" t="s">
        <v>22</v>
      </c>
      <c r="H71">
        <v>37987</v>
      </c>
      <c r="I71" t="s">
        <v>23</v>
      </c>
      <c r="J71" t="s">
        <v>35</v>
      </c>
      <c r="K71" t="s">
        <v>36</v>
      </c>
      <c r="L71" t="s">
        <v>26</v>
      </c>
      <c r="M71" t="s">
        <v>27</v>
      </c>
      <c r="N71" t="s">
        <v>31</v>
      </c>
      <c r="O71" t="s">
        <v>37</v>
      </c>
      <c r="P71" t="s">
        <v>148</v>
      </c>
    </row>
    <row r="72" spans="1:16" x14ac:dyDescent="0.25">
      <c r="A72" t="s">
        <v>43</v>
      </c>
      <c r="B72" t="s">
        <v>316</v>
      </c>
      <c r="C72" t="s">
        <v>317</v>
      </c>
      <c r="D72" t="s">
        <v>318</v>
      </c>
      <c r="E72" t="s">
        <v>20</v>
      </c>
      <c r="F72" t="s">
        <v>21</v>
      </c>
      <c r="G72" t="s">
        <v>22</v>
      </c>
      <c r="H72">
        <v>36892</v>
      </c>
      <c r="I72" t="s">
        <v>23</v>
      </c>
      <c r="J72" t="s">
        <v>47</v>
      </c>
      <c r="K72" t="s">
        <v>42</v>
      </c>
      <c r="L72" t="s">
        <v>26</v>
      </c>
      <c r="M72" t="s">
        <v>27</v>
      </c>
      <c r="N72" t="s">
        <v>49</v>
      </c>
      <c r="O72" t="s">
        <v>319</v>
      </c>
      <c r="P72" t="s">
        <v>320</v>
      </c>
    </row>
    <row r="73" spans="1:16" x14ac:dyDescent="0.25">
      <c r="A73" t="s">
        <v>43</v>
      </c>
      <c r="B73" t="s">
        <v>316</v>
      </c>
      <c r="C73" t="s">
        <v>317</v>
      </c>
      <c r="D73" t="s">
        <v>318</v>
      </c>
      <c r="E73" t="s">
        <v>20</v>
      </c>
      <c r="F73" t="s">
        <v>21</v>
      </c>
      <c r="G73" t="s">
        <v>22</v>
      </c>
      <c r="H73">
        <v>39814</v>
      </c>
      <c r="I73" t="s">
        <v>61</v>
      </c>
      <c r="J73" t="s">
        <v>62</v>
      </c>
      <c r="K73" t="s">
        <v>42</v>
      </c>
      <c r="L73" t="s">
        <v>26</v>
      </c>
      <c r="M73" t="s">
        <v>27</v>
      </c>
      <c r="N73" t="s">
        <v>49</v>
      </c>
      <c r="O73" t="s">
        <v>319</v>
      </c>
      <c r="P73" t="s">
        <v>320</v>
      </c>
    </row>
    <row r="74" spans="1:16" x14ac:dyDescent="0.25">
      <c r="A74" t="s">
        <v>31</v>
      </c>
      <c r="B74" t="s">
        <v>321</v>
      </c>
      <c r="C74" t="s">
        <v>322</v>
      </c>
      <c r="D74" t="s">
        <v>239</v>
      </c>
      <c r="E74" t="s">
        <v>20</v>
      </c>
      <c r="F74" t="s">
        <v>21</v>
      </c>
      <c r="G74" t="s">
        <v>22</v>
      </c>
      <c r="H74">
        <v>39083</v>
      </c>
      <c r="I74" t="s">
        <v>75</v>
      </c>
      <c r="J74" t="s">
        <v>323</v>
      </c>
      <c r="K74" t="s">
        <v>324</v>
      </c>
      <c r="L74" t="s">
        <v>26</v>
      </c>
      <c r="M74" t="s">
        <v>27</v>
      </c>
      <c r="N74" t="s">
        <v>31</v>
      </c>
      <c r="O74" t="s">
        <v>175</v>
      </c>
      <c r="P74" t="s">
        <v>325</v>
      </c>
    </row>
    <row r="75" spans="1:16" x14ac:dyDescent="0.25">
      <c r="A75" t="s">
        <v>31</v>
      </c>
      <c r="B75" t="s">
        <v>321</v>
      </c>
      <c r="C75" t="s">
        <v>322</v>
      </c>
      <c r="D75" t="s">
        <v>239</v>
      </c>
      <c r="E75" t="s">
        <v>20</v>
      </c>
      <c r="F75" t="s">
        <v>21</v>
      </c>
      <c r="G75" t="s">
        <v>22</v>
      </c>
      <c r="H75">
        <v>39083</v>
      </c>
      <c r="I75" t="s">
        <v>75</v>
      </c>
      <c r="J75" t="s">
        <v>323</v>
      </c>
      <c r="K75" t="s">
        <v>324</v>
      </c>
      <c r="L75" t="s">
        <v>26</v>
      </c>
      <c r="M75" t="s">
        <v>27</v>
      </c>
      <c r="N75" t="s">
        <v>31</v>
      </c>
      <c r="O75" t="s">
        <v>175</v>
      </c>
      <c r="P75" t="s">
        <v>325</v>
      </c>
    </row>
    <row r="76" spans="1:16" x14ac:dyDescent="0.25">
      <c r="A76" t="s">
        <v>95</v>
      </c>
      <c r="B76" t="s">
        <v>326</v>
      </c>
      <c r="C76" t="s">
        <v>327</v>
      </c>
      <c r="D76" t="s">
        <v>328</v>
      </c>
      <c r="E76" t="s">
        <v>20</v>
      </c>
      <c r="F76" t="s">
        <v>21</v>
      </c>
      <c r="G76" t="s">
        <v>22</v>
      </c>
      <c r="H76">
        <v>38718</v>
      </c>
      <c r="I76" t="s">
        <v>75</v>
      </c>
      <c r="J76" t="s">
        <v>76</v>
      </c>
      <c r="K76" t="s">
        <v>329</v>
      </c>
      <c r="L76" t="s">
        <v>26</v>
      </c>
      <c r="M76" t="s">
        <v>27</v>
      </c>
      <c r="N76" t="s">
        <v>100</v>
      </c>
      <c r="O76" t="s">
        <v>101</v>
      </c>
      <c r="P76" t="s">
        <v>330</v>
      </c>
    </row>
    <row r="77" spans="1:16" x14ac:dyDescent="0.25">
      <c r="A77" t="s">
        <v>31</v>
      </c>
      <c r="B77" t="s">
        <v>331</v>
      </c>
      <c r="C77" t="s">
        <v>332</v>
      </c>
      <c r="D77" t="s">
        <v>333</v>
      </c>
      <c r="E77" t="s">
        <v>20</v>
      </c>
      <c r="F77" t="s">
        <v>21</v>
      </c>
      <c r="G77" t="s">
        <v>22</v>
      </c>
      <c r="H77">
        <v>37987</v>
      </c>
      <c r="I77" t="s">
        <v>23</v>
      </c>
      <c r="J77" t="s">
        <v>35</v>
      </c>
      <c r="K77" t="s">
        <v>36</v>
      </c>
      <c r="L77" t="s">
        <v>26</v>
      </c>
      <c r="M77" t="s">
        <v>27</v>
      </c>
      <c r="N77" t="s">
        <v>31</v>
      </c>
      <c r="O77" t="s">
        <v>334</v>
      </c>
      <c r="P77" t="s">
        <v>335</v>
      </c>
    </row>
    <row r="78" spans="1:16" x14ac:dyDescent="0.25">
      <c r="A78" t="s">
        <v>31</v>
      </c>
      <c r="B78" t="s">
        <v>336</v>
      </c>
      <c r="C78" t="s">
        <v>337</v>
      </c>
      <c r="D78" t="s">
        <v>338</v>
      </c>
      <c r="E78" t="s">
        <v>20</v>
      </c>
      <c r="F78" t="s">
        <v>21</v>
      </c>
      <c r="G78" t="s">
        <v>22</v>
      </c>
      <c r="H78">
        <v>37987</v>
      </c>
      <c r="I78" t="s">
        <v>23</v>
      </c>
      <c r="J78" t="s">
        <v>35</v>
      </c>
      <c r="K78" t="s">
        <v>36</v>
      </c>
      <c r="L78" t="s">
        <v>26</v>
      </c>
      <c r="M78" t="s">
        <v>27</v>
      </c>
      <c r="N78" t="s">
        <v>31</v>
      </c>
      <c r="O78" t="s">
        <v>37</v>
      </c>
      <c r="P78" t="s">
        <v>249</v>
      </c>
    </row>
    <row r="79" spans="1:16" x14ac:dyDescent="0.25">
      <c r="A79" t="s">
        <v>71</v>
      </c>
      <c r="B79" t="s">
        <v>339</v>
      </c>
      <c r="C79" t="s">
        <v>340</v>
      </c>
      <c r="D79" t="s">
        <v>341</v>
      </c>
      <c r="E79" t="s">
        <v>20</v>
      </c>
      <c r="F79" t="s">
        <v>21</v>
      </c>
      <c r="G79" t="s">
        <v>22</v>
      </c>
      <c r="H79">
        <v>36892</v>
      </c>
      <c r="I79" t="s">
        <v>75</v>
      </c>
      <c r="J79" t="s">
        <v>76</v>
      </c>
      <c r="K79" t="s">
        <v>342</v>
      </c>
      <c r="L79" t="s">
        <v>26</v>
      </c>
      <c r="M79" t="s">
        <v>27</v>
      </c>
      <c r="N79" t="s">
        <v>77</v>
      </c>
      <c r="O79" t="s">
        <v>78</v>
      </c>
      <c r="P79" t="s">
        <v>79</v>
      </c>
    </row>
    <row r="80" spans="1:16" x14ac:dyDescent="0.25">
      <c r="A80" t="s">
        <v>16</v>
      </c>
      <c r="B80" t="s">
        <v>343</v>
      </c>
      <c r="C80" t="s">
        <v>81</v>
      </c>
      <c r="D80" t="s">
        <v>344</v>
      </c>
      <c r="E80" t="s">
        <v>20</v>
      </c>
      <c r="F80" t="s">
        <v>21</v>
      </c>
      <c r="G80" t="s">
        <v>22</v>
      </c>
      <c r="H80">
        <v>39083</v>
      </c>
      <c r="I80" t="s">
        <v>23</v>
      </c>
      <c r="J80" t="s">
        <v>24</v>
      </c>
      <c r="K80" t="s">
        <v>83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</row>
    <row r="81" spans="1:16" x14ac:dyDescent="0.25">
      <c r="A81" t="s">
        <v>31</v>
      </c>
      <c r="B81" t="s">
        <v>345</v>
      </c>
      <c r="C81" t="s">
        <v>346</v>
      </c>
      <c r="D81" t="s">
        <v>347</v>
      </c>
      <c r="E81" t="s">
        <v>20</v>
      </c>
      <c r="F81" t="s">
        <v>21</v>
      </c>
      <c r="G81" t="s">
        <v>22</v>
      </c>
      <c r="H81">
        <v>37987</v>
      </c>
      <c r="I81" t="s">
        <v>23</v>
      </c>
      <c r="J81" t="s">
        <v>35</v>
      </c>
      <c r="K81" t="s">
        <v>36</v>
      </c>
      <c r="L81" t="s">
        <v>26</v>
      </c>
      <c r="M81" t="s">
        <v>27</v>
      </c>
      <c r="N81" t="s">
        <v>31</v>
      </c>
      <c r="O81" t="s">
        <v>152</v>
      </c>
      <c r="P81" t="s">
        <v>348</v>
      </c>
    </row>
    <row r="82" spans="1:16" x14ac:dyDescent="0.25">
      <c r="A82" t="s">
        <v>31</v>
      </c>
      <c r="B82" t="s">
        <v>349</v>
      </c>
      <c r="C82" t="s">
        <v>350</v>
      </c>
      <c r="D82" t="s">
        <v>351</v>
      </c>
      <c r="E82" t="s">
        <v>20</v>
      </c>
      <c r="F82" t="s">
        <v>21</v>
      </c>
      <c r="G82" t="s">
        <v>22</v>
      </c>
      <c r="H82">
        <v>37987</v>
      </c>
      <c r="I82" t="s">
        <v>23</v>
      </c>
      <c r="J82" t="s">
        <v>35</v>
      </c>
      <c r="K82" t="s">
        <v>36</v>
      </c>
      <c r="L82" t="s">
        <v>26</v>
      </c>
      <c r="M82" t="s">
        <v>27</v>
      </c>
      <c r="N82" t="s">
        <v>31</v>
      </c>
      <c r="O82" t="s">
        <v>352</v>
      </c>
      <c r="P82" t="s">
        <v>353</v>
      </c>
    </row>
    <row r="83" spans="1:16" x14ac:dyDescent="0.25">
      <c r="A83" t="s">
        <v>71</v>
      </c>
      <c r="B83" t="s">
        <v>354</v>
      </c>
      <c r="C83" t="s">
        <v>355</v>
      </c>
      <c r="D83" t="s">
        <v>356</v>
      </c>
      <c r="E83" t="s">
        <v>20</v>
      </c>
      <c r="F83" t="s">
        <v>21</v>
      </c>
      <c r="G83" t="s">
        <v>22</v>
      </c>
      <c r="H83">
        <v>37257</v>
      </c>
      <c r="I83" t="s">
        <v>23</v>
      </c>
      <c r="J83" t="s">
        <v>357</v>
      </c>
      <c r="K83" t="s">
        <v>358</v>
      </c>
      <c r="L83" t="s">
        <v>26</v>
      </c>
      <c r="M83" t="s">
        <v>27</v>
      </c>
      <c r="N83" t="s">
        <v>77</v>
      </c>
      <c r="O83" t="s">
        <v>359</v>
      </c>
      <c r="P83" t="s">
        <v>360</v>
      </c>
    </row>
    <row r="84" spans="1:16" x14ac:dyDescent="0.25">
      <c r="A84" t="s">
        <v>31</v>
      </c>
      <c r="B84" t="s">
        <v>361</v>
      </c>
      <c r="C84" t="s">
        <v>225</v>
      </c>
      <c r="D84" t="s">
        <v>362</v>
      </c>
      <c r="E84" t="s">
        <v>20</v>
      </c>
      <c r="F84" t="s">
        <v>21</v>
      </c>
      <c r="G84" t="s">
        <v>22</v>
      </c>
      <c r="H84">
        <v>37987</v>
      </c>
      <c r="I84" t="s">
        <v>23</v>
      </c>
      <c r="J84" t="s">
        <v>35</v>
      </c>
      <c r="K84" t="s">
        <v>36</v>
      </c>
      <c r="L84" t="s">
        <v>26</v>
      </c>
      <c r="M84" t="s">
        <v>27</v>
      </c>
      <c r="N84" t="s">
        <v>31</v>
      </c>
      <c r="O84" t="s">
        <v>37</v>
      </c>
      <c r="P84" t="s">
        <v>216</v>
      </c>
    </row>
    <row r="85" spans="1:16" x14ac:dyDescent="0.25">
      <c r="A85" t="s">
        <v>43</v>
      </c>
      <c r="B85" t="s">
        <v>363</v>
      </c>
      <c r="C85" t="s">
        <v>364</v>
      </c>
      <c r="D85" t="s">
        <v>46</v>
      </c>
      <c r="E85" t="s">
        <v>20</v>
      </c>
      <c r="F85" t="s">
        <v>21</v>
      </c>
      <c r="G85" t="s">
        <v>22</v>
      </c>
      <c r="H85">
        <v>39814</v>
      </c>
      <c r="I85" t="s">
        <v>61</v>
      </c>
      <c r="J85" t="s">
        <v>62</v>
      </c>
      <c r="K85" t="s">
        <v>180</v>
      </c>
      <c r="L85" t="s">
        <v>26</v>
      </c>
      <c r="M85" t="s">
        <v>27</v>
      </c>
      <c r="N85" t="s">
        <v>49</v>
      </c>
      <c r="O85" t="s">
        <v>50</v>
      </c>
      <c r="P85" t="s">
        <v>51</v>
      </c>
    </row>
    <row r="86" spans="1:16" x14ac:dyDescent="0.25">
      <c r="A86" t="s">
        <v>16</v>
      </c>
      <c r="B86" t="s">
        <v>365</v>
      </c>
      <c r="C86" t="s">
        <v>366</v>
      </c>
      <c r="D86" t="s">
        <v>367</v>
      </c>
      <c r="E86" t="s">
        <v>20</v>
      </c>
      <c r="F86" t="s">
        <v>21</v>
      </c>
      <c r="G86" t="s">
        <v>22</v>
      </c>
      <c r="H86">
        <v>39083</v>
      </c>
      <c r="I86" t="s">
        <v>23</v>
      </c>
      <c r="J86" t="s">
        <v>24</v>
      </c>
      <c r="K86" t="s">
        <v>42</v>
      </c>
      <c r="L86" t="s">
        <v>26</v>
      </c>
      <c r="M86" t="s">
        <v>27</v>
      </c>
      <c r="N86" t="s">
        <v>28</v>
      </c>
      <c r="O86" t="s">
        <v>254</v>
      </c>
      <c r="P86" t="s">
        <v>255</v>
      </c>
    </row>
    <row r="87" spans="1:16" x14ac:dyDescent="0.25">
      <c r="A87" t="s">
        <v>31</v>
      </c>
      <c r="B87" t="s">
        <v>368</v>
      </c>
      <c r="C87" t="s">
        <v>225</v>
      </c>
      <c r="D87" t="s">
        <v>369</v>
      </c>
      <c r="E87" t="s">
        <v>20</v>
      </c>
      <c r="F87" t="s">
        <v>21</v>
      </c>
      <c r="G87" t="s">
        <v>22</v>
      </c>
      <c r="H87">
        <v>37987</v>
      </c>
      <c r="I87" t="s">
        <v>23</v>
      </c>
      <c r="J87" t="s">
        <v>35</v>
      </c>
      <c r="K87" t="s">
        <v>36</v>
      </c>
      <c r="L87" t="s">
        <v>26</v>
      </c>
      <c r="M87" t="s">
        <v>27</v>
      </c>
      <c r="N87" t="s">
        <v>31</v>
      </c>
      <c r="O87" t="s">
        <v>37</v>
      </c>
      <c r="P87" t="s">
        <v>216</v>
      </c>
    </row>
    <row r="88" spans="1:16" x14ac:dyDescent="0.25">
      <c r="A88" t="s">
        <v>31</v>
      </c>
      <c r="B88" t="s">
        <v>370</v>
      </c>
      <c r="C88" t="s">
        <v>371</v>
      </c>
      <c r="D88" t="s">
        <v>372</v>
      </c>
      <c r="E88" t="s">
        <v>20</v>
      </c>
      <c r="F88" t="s">
        <v>21</v>
      </c>
      <c r="G88" t="s">
        <v>22</v>
      </c>
      <c r="H88">
        <v>37987</v>
      </c>
      <c r="I88" t="s">
        <v>23</v>
      </c>
      <c r="J88" t="s">
        <v>35</v>
      </c>
      <c r="K88" t="s">
        <v>36</v>
      </c>
      <c r="L88" t="s">
        <v>26</v>
      </c>
      <c r="M88" t="s">
        <v>27</v>
      </c>
      <c r="N88" t="s">
        <v>31</v>
      </c>
      <c r="O88" t="s">
        <v>37</v>
      </c>
      <c r="P88" t="s">
        <v>373</v>
      </c>
    </row>
    <row r="89" spans="1:16" x14ac:dyDescent="0.25">
      <c r="A89" t="s">
        <v>95</v>
      </c>
      <c r="B89" t="s">
        <v>374</v>
      </c>
      <c r="C89" t="s">
        <v>375</v>
      </c>
      <c r="D89" t="s">
        <v>191</v>
      </c>
      <c r="E89" t="s">
        <v>20</v>
      </c>
      <c r="F89" t="s">
        <v>21</v>
      </c>
      <c r="G89" t="s">
        <v>22</v>
      </c>
      <c r="H89">
        <v>37257</v>
      </c>
      <c r="I89" t="s">
        <v>23</v>
      </c>
      <c r="J89" t="s">
        <v>357</v>
      </c>
      <c r="K89" t="s">
        <v>376</v>
      </c>
      <c r="L89" t="s">
        <v>26</v>
      </c>
      <c r="M89" t="s">
        <v>27</v>
      </c>
      <c r="N89" t="s">
        <v>100</v>
      </c>
      <c r="O89" t="s">
        <v>101</v>
      </c>
      <c r="P89" t="s">
        <v>193</v>
      </c>
    </row>
    <row r="90" spans="1:16" x14ac:dyDescent="0.25">
      <c r="A90" t="s">
        <v>71</v>
      </c>
      <c r="B90" t="s">
        <v>377</v>
      </c>
      <c r="C90" t="s">
        <v>378</v>
      </c>
      <c r="D90" t="s">
        <v>379</v>
      </c>
      <c r="E90" t="s">
        <v>20</v>
      </c>
      <c r="F90" t="s">
        <v>21</v>
      </c>
      <c r="G90" t="s">
        <v>22</v>
      </c>
      <c r="H90">
        <v>37257</v>
      </c>
      <c r="I90" t="s">
        <v>23</v>
      </c>
      <c r="J90" t="s">
        <v>357</v>
      </c>
      <c r="K90" t="s">
        <v>380</v>
      </c>
      <c r="L90" t="s">
        <v>26</v>
      </c>
      <c r="M90" t="s">
        <v>27</v>
      </c>
      <c r="N90" t="s">
        <v>77</v>
      </c>
      <c r="O90" t="s">
        <v>359</v>
      </c>
      <c r="P90" t="s">
        <v>381</v>
      </c>
    </row>
    <row r="91" spans="1:16" x14ac:dyDescent="0.25">
      <c r="A91" t="s">
        <v>31</v>
      </c>
      <c r="B91" t="s">
        <v>382</v>
      </c>
      <c r="C91" t="s">
        <v>383</v>
      </c>
      <c r="D91" t="s">
        <v>384</v>
      </c>
      <c r="E91" t="s">
        <v>20</v>
      </c>
      <c r="F91" t="s">
        <v>21</v>
      </c>
      <c r="G91" t="s">
        <v>22</v>
      </c>
      <c r="H91">
        <v>39814</v>
      </c>
      <c r="I91" t="s">
        <v>75</v>
      </c>
      <c r="J91" t="s">
        <v>174</v>
      </c>
      <c r="K91" t="s">
        <v>36</v>
      </c>
      <c r="L91" t="s">
        <v>26</v>
      </c>
      <c r="M91" t="s">
        <v>27</v>
      </c>
      <c r="N91" t="s">
        <v>31</v>
      </c>
      <c r="O91" t="s">
        <v>175</v>
      </c>
      <c r="P91" t="s">
        <v>176</v>
      </c>
    </row>
    <row r="92" spans="1:16" x14ac:dyDescent="0.25">
      <c r="A92" t="s">
        <v>31</v>
      </c>
      <c r="B92" t="s">
        <v>385</v>
      </c>
      <c r="C92" t="s">
        <v>386</v>
      </c>
      <c r="D92" t="s">
        <v>387</v>
      </c>
      <c r="E92" t="s">
        <v>20</v>
      </c>
      <c r="F92" t="s">
        <v>21</v>
      </c>
      <c r="G92" t="s">
        <v>22</v>
      </c>
      <c r="H92">
        <v>39814</v>
      </c>
      <c r="I92" t="s">
        <v>75</v>
      </c>
      <c r="J92" t="s">
        <v>174</v>
      </c>
      <c r="K92" t="s">
        <v>36</v>
      </c>
      <c r="L92" t="s">
        <v>26</v>
      </c>
      <c r="M92" t="s">
        <v>27</v>
      </c>
      <c r="N92" t="s">
        <v>31</v>
      </c>
      <c r="O92" t="s">
        <v>175</v>
      </c>
      <c r="P92" t="s">
        <v>176</v>
      </c>
    </row>
    <row r="93" spans="1:16" x14ac:dyDescent="0.25">
      <c r="A93" t="s">
        <v>31</v>
      </c>
      <c r="B93" t="s">
        <v>388</v>
      </c>
      <c r="C93" t="s">
        <v>262</v>
      </c>
      <c r="D93" t="s">
        <v>389</v>
      </c>
      <c r="E93" t="s">
        <v>20</v>
      </c>
      <c r="F93" t="s">
        <v>21</v>
      </c>
      <c r="G93" t="s">
        <v>22</v>
      </c>
      <c r="H93">
        <v>37987</v>
      </c>
      <c r="I93" t="s">
        <v>23</v>
      </c>
      <c r="J93" t="s">
        <v>35</v>
      </c>
      <c r="K93" t="s">
        <v>219</v>
      </c>
      <c r="L93" t="s">
        <v>26</v>
      </c>
      <c r="M93" t="s">
        <v>27</v>
      </c>
      <c r="N93" t="s">
        <v>31</v>
      </c>
      <c r="O93" t="s">
        <v>37</v>
      </c>
      <c r="P93" t="s">
        <v>148</v>
      </c>
    </row>
    <row r="94" spans="1:16" x14ac:dyDescent="0.25">
      <c r="A94" t="s">
        <v>31</v>
      </c>
      <c r="B94" t="s">
        <v>390</v>
      </c>
      <c r="C94" t="s">
        <v>391</v>
      </c>
      <c r="D94" t="s">
        <v>392</v>
      </c>
      <c r="E94" t="s">
        <v>20</v>
      </c>
      <c r="F94" t="s">
        <v>21</v>
      </c>
      <c r="G94" t="s">
        <v>22</v>
      </c>
      <c r="H94">
        <v>37987</v>
      </c>
      <c r="I94" t="s">
        <v>23</v>
      </c>
      <c r="J94" t="s">
        <v>35</v>
      </c>
      <c r="K94" t="s">
        <v>36</v>
      </c>
      <c r="L94" t="s">
        <v>26</v>
      </c>
      <c r="M94" t="s">
        <v>27</v>
      </c>
      <c r="N94" t="s">
        <v>31</v>
      </c>
      <c r="O94" t="s">
        <v>393</v>
      </c>
      <c r="P94" t="s">
        <v>394</v>
      </c>
    </row>
    <row r="95" spans="1:16" x14ac:dyDescent="0.25">
      <c r="A95" t="s">
        <v>31</v>
      </c>
      <c r="B95" t="s">
        <v>395</v>
      </c>
      <c r="C95" t="s">
        <v>396</v>
      </c>
      <c r="D95" t="s">
        <v>397</v>
      </c>
      <c r="E95" t="s">
        <v>20</v>
      </c>
      <c r="F95" t="s">
        <v>21</v>
      </c>
      <c r="G95" t="s">
        <v>22</v>
      </c>
      <c r="H95">
        <v>37987</v>
      </c>
      <c r="I95" t="s">
        <v>23</v>
      </c>
      <c r="J95" t="s">
        <v>35</v>
      </c>
      <c r="K95" t="s">
        <v>36</v>
      </c>
      <c r="L95" t="s">
        <v>26</v>
      </c>
      <c r="M95" t="s">
        <v>27</v>
      </c>
      <c r="N95" t="s">
        <v>31</v>
      </c>
      <c r="O95" t="s">
        <v>37</v>
      </c>
      <c r="P95" t="s">
        <v>249</v>
      </c>
    </row>
    <row r="96" spans="1:16" x14ac:dyDescent="0.25">
      <c r="A96" t="s">
        <v>16</v>
      </c>
      <c r="B96" t="s">
        <v>398</v>
      </c>
      <c r="C96" t="s">
        <v>399</v>
      </c>
      <c r="D96" t="s">
        <v>400</v>
      </c>
      <c r="E96" t="s">
        <v>20</v>
      </c>
      <c r="F96" t="s">
        <v>21</v>
      </c>
      <c r="G96" t="s">
        <v>22</v>
      </c>
      <c r="H96">
        <v>39083</v>
      </c>
      <c r="I96" t="s">
        <v>23</v>
      </c>
      <c r="J96" t="s">
        <v>24</v>
      </c>
      <c r="K96" t="s">
        <v>401</v>
      </c>
      <c r="L96" t="s">
        <v>26</v>
      </c>
      <c r="M96" t="s">
        <v>27</v>
      </c>
      <c r="N96" t="s">
        <v>28</v>
      </c>
      <c r="O96" t="s">
        <v>55</v>
      </c>
      <c r="P96" t="s">
        <v>212</v>
      </c>
    </row>
    <row r="97" spans="1:16" x14ac:dyDescent="0.25">
      <c r="A97" t="s">
        <v>31</v>
      </c>
      <c r="B97" t="s">
        <v>402</v>
      </c>
      <c r="C97" t="s">
        <v>403</v>
      </c>
      <c r="D97" t="s">
        <v>404</v>
      </c>
      <c r="E97" t="s">
        <v>20</v>
      </c>
      <c r="F97" t="s">
        <v>21</v>
      </c>
      <c r="G97" t="s">
        <v>22</v>
      </c>
      <c r="H97">
        <v>37987</v>
      </c>
      <c r="I97" t="s">
        <v>23</v>
      </c>
      <c r="J97" t="s">
        <v>35</v>
      </c>
      <c r="K97" t="s">
        <v>36</v>
      </c>
      <c r="L97" t="s">
        <v>26</v>
      </c>
      <c r="M97" t="s">
        <v>27</v>
      </c>
      <c r="N97" t="s">
        <v>31</v>
      </c>
      <c r="O97" t="s">
        <v>37</v>
      </c>
      <c r="P97" t="s">
        <v>88</v>
      </c>
    </row>
    <row r="98" spans="1:16" x14ac:dyDescent="0.25">
      <c r="A98" t="s">
        <v>31</v>
      </c>
      <c r="B98" t="s">
        <v>405</v>
      </c>
      <c r="C98" t="s">
        <v>406</v>
      </c>
      <c r="D98" t="s">
        <v>407</v>
      </c>
      <c r="E98" t="s">
        <v>20</v>
      </c>
      <c r="F98" t="s">
        <v>21</v>
      </c>
      <c r="G98" t="s">
        <v>22</v>
      </c>
      <c r="H98">
        <v>37987</v>
      </c>
      <c r="I98" t="s">
        <v>23</v>
      </c>
      <c r="J98" t="s">
        <v>35</v>
      </c>
      <c r="K98" t="s">
        <v>36</v>
      </c>
      <c r="L98" t="s">
        <v>26</v>
      </c>
      <c r="M98" t="s">
        <v>27</v>
      </c>
      <c r="N98" t="s">
        <v>31</v>
      </c>
      <c r="O98" t="s">
        <v>37</v>
      </c>
      <c r="P98" t="s">
        <v>408</v>
      </c>
    </row>
    <row r="99" spans="1:16" x14ac:dyDescent="0.25">
      <c r="A99" t="s">
        <v>71</v>
      </c>
      <c r="B99" t="s">
        <v>409</v>
      </c>
      <c r="C99" t="s">
        <v>410</v>
      </c>
      <c r="D99" t="s">
        <v>411</v>
      </c>
      <c r="E99" t="s">
        <v>20</v>
      </c>
      <c r="F99" t="s">
        <v>21</v>
      </c>
      <c r="G99" t="s">
        <v>22</v>
      </c>
      <c r="H99">
        <v>37987</v>
      </c>
      <c r="I99" t="s">
        <v>75</v>
      </c>
      <c r="J99" t="s">
        <v>76</v>
      </c>
      <c r="K99" t="s">
        <v>412</v>
      </c>
      <c r="L99" t="s">
        <v>26</v>
      </c>
      <c r="M99" t="s">
        <v>27</v>
      </c>
      <c r="N99" t="s">
        <v>77</v>
      </c>
      <c r="O99" t="s">
        <v>78</v>
      </c>
      <c r="P99" t="s">
        <v>79</v>
      </c>
    </row>
    <row r="100" spans="1:16" x14ac:dyDescent="0.25">
      <c r="A100" t="s">
        <v>31</v>
      </c>
      <c r="B100" t="s">
        <v>413</v>
      </c>
      <c r="C100" t="s">
        <v>414</v>
      </c>
      <c r="D100" t="s">
        <v>415</v>
      </c>
      <c r="E100" t="s">
        <v>20</v>
      </c>
      <c r="F100" t="s">
        <v>21</v>
      </c>
      <c r="G100" t="s">
        <v>22</v>
      </c>
      <c r="H100">
        <v>39814</v>
      </c>
      <c r="I100" t="s">
        <v>75</v>
      </c>
      <c r="J100" t="s">
        <v>174</v>
      </c>
      <c r="K100" t="s">
        <v>36</v>
      </c>
      <c r="L100" t="s">
        <v>26</v>
      </c>
      <c r="M100" t="s">
        <v>27</v>
      </c>
      <c r="N100" t="s">
        <v>31</v>
      </c>
      <c r="O100" t="s">
        <v>175</v>
      </c>
      <c r="P100" t="s">
        <v>176</v>
      </c>
    </row>
    <row r="101" spans="1:16" x14ac:dyDescent="0.25">
      <c r="A101" t="s">
        <v>31</v>
      </c>
      <c r="B101" t="s">
        <v>416</v>
      </c>
      <c r="C101" t="s">
        <v>417</v>
      </c>
      <c r="D101" t="s">
        <v>418</v>
      </c>
      <c r="E101" t="s">
        <v>20</v>
      </c>
      <c r="F101" t="s">
        <v>21</v>
      </c>
      <c r="G101" t="s">
        <v>22</v>
      </c>
      <c r="H101">
        <v>37987</v>
      </c>
      <c r="I101" t="s">
        <v>23</v>
      </c>
      <c r="J101" t="s">
        <v>35</v>
      </c>
      <c r="K101" t="s">
        <v>36</v>
      </c>
      <c r="L101" t="s">
        <v>26</v>
      </c>
      <c r="M101" t="s">
        <v>27</v>
      </c>
      <c r="N101" t="s">
        <v>31</v>
      </c>
      <c r="O101" t="s">
        <v>419</v>
      </c>
      <c r="P101" t="s">
        <v>420</v>
      </c>
    </row>
    <row r="102" spans="1:16" x14ac:dyDescent="0.25">
      <c r="A102" t="s">
        <v>31</v>
      </c>
      <c r="B102" t="s">
        <v>421</v>
      </c>
      <c r="C102" t="s">
        <v>422</v>
      </c>
      <c r="D102" t="s">
        <v>423</v>
      </c>
      <c r="E102" t="s">
        <v>20</v>
      </c>
      <c r="F102" t="s">
        <v>21</v>
      </c>
      <c r="G102" t="s">
        <v>22</v>
      </c>
      <c r="H102">
        <v>37987</v>
      </c>
      <c r="I102" t="s">
        <v>23</v>
      </c>
      <c r="J102" t="s">
        <v>35</v>
      </c>
      <c r="K102" t="s">
        <v>36</v>
      </c>
      <c r="L102" t="s">
        <v>26</v>
      </c>
      <c r="M102" t="s">
        <v>27</v>
      </c>
      <c r="N102" t="s">
        <v>31</v>
      </c>
      <c r="O102" t="s">
        <v>115</v>
      </c>
      <c r="P102" t="s">
        <v>116</v>
      </c>
    </row>
    <row r="103" spans="1:16" x14ac:dyDescent="0.25">
      <c r="A103" t="s">
        <v>31</v>
      </c>
      <c r="B103" t="s">
        <v>424</v>
      </c>
      <c r="C103" t="s">
        <v>425</v>
      </c>
      <c r="D103" t="s">
        <v>426</v>
      </c>
      <c r="E103" t="s">
        <v>20</v>
      </c>
      <c r="F103" t="s">
        <v>21</v>
      </c>
      <c r="G103" t="s">
        <v>22</v>
      </c>
      <c r="H103">
        <v>37987</v>
      </c>
      <c r="I103" t="s">
        <v>23</v>
      </c>
      <c r="J103" t="s">
        <v>35</v>
      </c>
      <c r="K103" t="s">
        <v>183</v>
      </c>
      <c r="L103" t="s">
        <v>26</v>
      </c>
      <c r="M103" t="s">
        <v>27</v>
      </c>
      <c r="N103" t="s">
        <v>31</v>
      </c>
      <c r="O103" t="s">
        <v>37</v>
      </c>
      <c r="P103" t="s">
        <v>408</v>
      </c>
    </row>
    <row r="104" spans="1:16" x14ac:dyDescent="0.25">
      <c r="A104" t="s">
        <v>31</v>
      </c>
      <c r="B104" t="s">
        <v>427</v>
      </c>
      <c r="C104" t="s">
        <v>428</v>
      </c>
      <c r="D104" t="s">
        <v>429</v>
      </c>
      <c r="E104" t="s">
        <v>20</v>
      </c>
      <c r="F104" t="s">
        <v>21</v>
      </c>
      <c r="G104" t="s">
        <v>22</v>
      </c>
      <c r="H104">
        <v>37987</v>
      </c>
      <c r="I104" t="s">
        <v>23</v>
      </c>
      <c r="J104" t="s">
        <v>35</v>
      </c>
      <c r="K104" t="s">
        <v>36</v>
      </c>
      <c r="L104" t="s">
        <v>26</v>
      </c>
      <c r="M104" t="s">
        <v>27</v>
      </c>
      <c r="N104" t="s">
        <v>31</v>
      </c>
      <c r="O104" t="s">
        <v>197</v>
      </c>
      <c r="P104" t="s">
        <v>198</v>
      </c>
    </row>
    <row r="105" spans="1:16" x14ac:dyDescent="0.25">
      <c r="A105" t="s">
        <v>31</v>
      </c>
      <c r="B105" t="s">
        <v>430</v>
      </c>
      <c r="C105" t="s">
        <v>431</v>
      </c>
      <c r="D105" t="s">
        <v>432</v>
      </c>
      <c r="E105" t="s">
        <v>20</v>
      </c>
      <c r="F105" t="s">
        <v>21</v>
      </c>
      <c r="G105" t="s">
        <v>22</v>
      </c>
      <c r="H105">
        <v>37987</v>
      </c>
      <c r="I105" t="s">
        <v>23</v>
      </c>
      <c r="J105" t="s">
        <v>35</v>
      </c>
      <c r="K105" t="s">
        <v>433</v>
      </c>
      <c r="L105" t="s">
        <v>26</v>
      </c>
      <c r="M105" t="s">
        <v>27</v>
      </c>
      <c r="N105" t="s">
        <v>31</v>
      </c>
      <c r="O105" t="s">
        <v>37</v>
      </c>
      <c r="P105" t="s">
        <v>408</v>
      </c>
    </row>
    <row r="106" spans="1:16" x14ac:dyDescent="0.25">
      <c r="A106" t="s">
        <v>31</v>
      </c>
      <c r="B106" t="s">
        <v>434</v>
      </c>
      <c r="C106" t="s">
        <v>435</v>
      </c>
      <c r="D106" t="s">
        <v>436</v>
      </c>
      <c r="E106" t="s">
        <v>20</v>
      </c>
      <c r="F106" t="s">
        <v>21</v>
      </c>
      <c r="G106" t="s">
        <v>22</v>
      </c>
      <c r="H106">
        <v>37987</v>
      </c>
      <c r="I106" t="s">
        <v>23</v>
      </c>
      <c r="J106" t="s">
        <v>35</v>
      </c>
      <c r="K106" t="s">
        <v>437</v>
      </c>
      <c r="L106" t="s">
        <v>26</v>
      </c>
      <c r="M106" t="s">
        <v>27</v>
      </c>
      <c r="N106" t="s">
        <v>31</v>
      </c>
      <c r="O106" t="s">
        <v>93</v>
      </c>
      <c r="P106" t="s">
        <v>94</v>
      </c>
    </row>
    <row r="107" spans="1:16" x14ac:dyDescent="0.25">
      <c r="A107" t="s">
        <v>31</v>
      </c>
      <c r="B107" t="s">
        <v>438</v>
      </c>
      <c r="C107" t="s">
        <v>439</v>
      </c>
      <c r="D107" t="s">
        <v>440</v>
      </c>
      <c r="E107" t="s">
        <v>20</v>
      </c>
      <c r="F107" t="s">
        <v>21</v>
      </c>
      <c r="G107" t="s">
        <v>22</v>
      </c>
      <c r="H107">
        <v>38353</v>
      </c>
      <c r="I107" t="s">
        <v>75</v>
      </c>
      <c r="J107" t="s">
        <v>92</v>
      </c>
      <c r="K107" t="s">
        <v>36</v>
      </c>
      <c r="L107" t="s">
        <v>26</v>
      </c>
      <c r="M107" t="s">
        <v>27</v>
      </c>
      <c r="N107" t="s">
        <v>31</v>
      </c>
      <c r="O107" t="s">
        <v>441</v>
      </c>
      <c r="P107" t="s">
        <v>442</v>
      </c>
    </row>
    <row r="108" spans="1:16" x14ac:dyDescent="0.25">
      <c r="A108" t="s">
        <v>31</v>
      </c>
      <c r="B108" t="s">
        <v>443</v>
      </c>
      <c r="C108" t="s">
        <v>444</v>
      </c>
      <c r="D108" t="s">
        <v>445</v>
      </c>
      <c r="E108" t="s">
        <v>20</v>
      </c>
      <c r="F108" t="s">
        <v>21</v>
      </c>
      <c r="G108" t="s">
        <v>22</v>
      </c>
      <c r="H108">
        <v>37987</v>
      </c>
      <c r="I108" t="s">
        <v>23</v>
      </c>
      <c r="J108" t="s">
        <v>35</v>
      </c>
      <c r="K108" t="s">
        <v>36</v>
      </c>
      <c r="L108" t="s">
        <v>26</v>
      </c>
      <c r="M108" t="s">
        <v>27</v>
      </c>
      <c r="N108" t="s">
        <v>31</v>
      </c>
      <c r="O108" t="s">
        <v>37</v>
      </c>
      <c r="P108" t="s">
        <v>446</v>
      </c>
    </row>
    <row r="109" spans="1:16" x14ac:dyDescent="0.25">
      <c r="A109" t="s">
        <v>31</v>
      </c>
      <c r="B109" t="s">
        <v>447</v>
      </c>
      <c r="C109" t="s">
        <v>448</v>
      </c>
      <c r="D109" t="s">
        <v>449</v>
      </c>
      <c r="E109" t="s">
        <v>20</v>
      </c>
      <c r="F109" t="s">
        <v>21</v>
      </c>
      <c r="G109" t="s">
        <v>22</v>
      </c>
      <c r="H109">
        <v>37987</v>
      </c>
      <c r="I109" t="s">
        <v>23</v>
      </c>
      <c r="J109" t="s">
        <v>35</v>
      </c>
      <c r="K109" t="s">
        <v>36</v>
      </c>
      <c r="L109" t="s">
        <v>26</v>
      </c>
      <c r="M109" t="s">
        <v>27</v>
      </c>
      <c r="N109" t="s">
        <v>31</v>
      </c>
      <c r="O109" t="s">
        <v>115</v>
      </c>
      <c r="P109" t="s">
        <v>116</v>
      </c>
    </row>
    <row r="110" spans="1:16" x14ac:dyDescent="0.25">
      <c r="A110" t="s">
        <v>31</v>
      </c>
      <c r="B110" t="s">
        <v>450</v>
      </c>
      <c r="C110" t="s">
        <v>451</v>
      </c>
      <c r="D110" t="s">
        <v>452</v>
      </c>
      <c r="E110" t="s">
        <v>20</v>
      </c>
      <c r="F110" t="s">
        <v>21</v>
      </c>
      <c r="G110" t="s">
        <v>22</v>
      </c>
      <c r="H110">
        <v>37987</v>
      </c>
      <c r="I110" t="s">
        <v>23</v>
      </c>
      <c r="J110" t="s">
        <v>35</v>
      </c>
      <c r="K110" t="s">
        <v>36</v>
      </c>
      <c r="L110" t="s">
        <v>26</v>
      </c>
      <c r="M110" t="s">
        <v>27</v>
      </c>
      <c r="N110" t="s">
        <v>31</v>
      </c>
      <c r="O110" t="s">
        <v>37</v>
      </c>
      <c r="P110" t="s">
        <v>88</v>
      </c>
    </row>
    <row r="111" spans="1:16" x14ac:dyDescent="0.25">
      <c r="A111" t="s">
        <v>16</v>
      </c>
      <c r="B111" t="s">
        <v>453</v>
      </c>
      <c r="C111" t="s">
        <v>454</v>
      </c>
      <c r="D111" t="s">
        <v>455</v>
      </c>
      <c r="E111" t="s">
        <v>20</v>
      </c>
      <c r="F111" t="s">
        <v>21</v>
      </c>
      <c r="G111" t="s">
        <v>22</v>
      </c>
      <c r="H111">
        <v>39083</v>
      </c>
      <c r="I111" t="s">
        <v>23</v>
      </c>
      <c r="J111" t="s">
        <v>24</v>
      </c>
      <c r="K111" t="s">
        <v>456</v>
      </c>
      <c r="L111" t="s">
        <v>26</v>
      </c>
      <c r="M111" t="s">
        <v>27</v>
      </c>
      <c r="N111" t="s">
        <v>28</v>
      </c>
      <c r="O111" t="s">
        <v>244</v>
      </c>
      <c r="P111" t="s">
        <v>457</v>
      </c>
    </row>
    <row r="112" spans="1:16" x14ac:dyDescent="0.25">
      <c r="A112" t="s">
        <v>31</v>
      </c>
      <c r="B112" t="s">
        <v>458</v>
      </c>
      <c r="C112" t="s">
        <v>459</v>
      </c>
      <c r="D112" t="s">
        <v>460</v>
      </c>
      <c r="E112" t="s">
        <v>20</v>
      </c>
      <c r="F112" t="s">
        <v>21</v>
      </c>
      <c r="G112" t="s">
        <v>22</v>
      </c>
      <c r="H112">
        <v>37987</v>
      </c>
      <c r="I112" t="s">
        <v>23</v>
      </c>
      <c r="J112" t="s">
        <v>35</v>
      </c>
      <c r="K112" t="s">
        <v>36</v>
      </c>
      <c r="L112" t="s">
        <v>26</v>
      </c>
      <c r="M112" t="s">
        <v>27</v>
      </c>
      <c r="N112" t="s">
        <v>31</v>
      </c>
      <c r="O112" t="s">
        <v>152</v>
      </c>
      <c r="P112" t="s">
        <v>461</v>
      </c>
    </row>
    <row r="113" spans="1:16" x14ac:dyDescent="0.25">
      <c r="A113" t="s">
        <v>31</v>
      </c>
      <c r="B113" t="s">
        <v>462</v>
      </c>
      <c r="C113" t="s">
        <v>463</v>
      </c>
      <c r="D113" t="s">
        <v>464</v>
      </c>
      <c r="E113" t="s">
        <v>20</v>
      </c>
      <c r="F113" t="s">
        <v>21</v>
      </c>
      <c r="G113" t="s">
        <v>22</v>
      </c>
      <c r="H113">
        <v>39083</v>
      </c>
      <c r="I113" t="s">
        <v>75</v>
      </c>
      <c r="J113" t="s">
        <v>323</v>
      </c>
      <c r="K113" t="s">
        <v>219</v>
      </c>
      <c r="L113" t="s">
        <v>26</v>
      </c>
      <c r="M113" t="s">
        <v>27</v>
      </c>
      <c r="N113" t="s">
        <v>31</v>
      </c>
      <c r="O113" t="s">
        <v>197</v>
      </c>
      <c r="P113" t="s">
        <v>465</v>
      </c>
    </row>
    <row r="114" spans="1:16" x14ac:dyDescent="0.25">
      <c r="A114" t="s">
        <v>31</v>
      </c>
      <c r="B114" t="s">
        <v>466</v>
      </c>
      <c r="C114" t="s">
        <v>118</v>
      </c>
      <c r="D114" t="s">
        <v>467</v>
      </c>
      <c r="E114" t="s">
        <v>20</v>
      </c>
      <c r="F114" t="s">
        <v>21</v>
      </c>
      <c r="G114" t="s">
        <v>22</v>
      </c>
      <c r="H114">
        <v>37987</v>
      </c>
      <c r="I114" t="s">
        <v>23</v>
      </c>
      <c r="J114" t="s">
        <v>35</v>
      </c>
      <c r="K114" t="s">
        <v>120</v>
      </c>
      <c r="L114" t="s">
        <v>26</v>
      </c>
      <c r="M114" t="s">
        <v>27</v>
      </c>
      <c r="N114" t="s">
        <v>31</v>
      </c>
      <c r="O114" t="s">
        <v>121</v>
      </c>
      <c r="P114" t="s">
        <v>122</v>
      </c>
    </row>
    <row r="115" spans="1:16" x14ac:dyDescent="0.25">
      <c r="A115" t="s">
        <v>31</v>
      </c>
      <c r="B115" t="s">
        <v>468</v>
      </c>
      <c r="C115" t="s">
        <v>469</v>
      </c>
      <c r="D115" t="s">
        <v>470</v>
      </c>
      <c r="E115" t="s">
        <v>20</v>
      </c>
      <c r="F115" t="s">
        <v>21</v>
      </c>
      <c r="G115" t="s">
        <v>22</v>
      </c>
      <c r="H115">
        <v>37987</v>
      </c>
      <c r="I115" t="s">
        <v>23</v>
      </c>
      <c r="J115" t="s">
        <v>35</v>
      </c>
      <c r="K115" t="s">
        <v>36</v>
      </c>
      <c r="L115" t="s">
        <v>26</v>
      </c>
      <c r="M115" t="s">
        <v>27</v>
      </c>
      <c r="N115" t="s">
        <v>31</v>
      </c>
      <c r="O115" t="s">
        <v>471</v>
      </c>
      <c r="P115" t="s">
        <v>472</v>
      </c>
    </row>
    <row r="116" spans="1:16" x14ac:dyDescent="0.25">
      <c r="A116" t="s">
        <v>16</v>
      </c>
      <c r="B116" t="s">
        <v>473</v>
      </c>
      <c r="C116" t="s">
        <v>474</v>
      </c>
      <c r="D116" t="s">
        <v>475</v>
      </c>
      <c r="E116" t="s">
        <v>20</v>
      </c>
      <c r="F116" t="s">
        <v>21</v>
      </c>
      <c r="G116" t="s">
        <v>22</v>
      </c>
      <c r="H116">
        <v>39083</v>
      </c>
      <c r="I116" t="s">
        <v>23</v>
      </c>
      <c r="J116" t="s">
        <v>24</v>
      </c>
      <c r="K116" t="s">
        <v>207</v>
      </c>
      <c r="L116" t="s">
        <v>26</v>
      </c>
      <c r="M116" t="s">
        <v>27</v>
      </c>
      <c r="N116" t="s">
        <v>28</v>
      </c>
      <c r="O116" t="s">
        <v>476</v>
      </c>
      <c r="P116" t="s">
        <v>477</v>
      </c>
    </row>
    <row r="117" spans="1:16" x14ac:dyDescent="0.25">
      <c r="A117" t="s">
        <v>71</v>
      </c>
      <c r="B117" t="s">
        <v>478</v>
      </c>
      <c r="C117" t="s">
        <v>479</v>
      </c>
      <c r="D117" t="s">
        <v>480</v>
      </c>
      <c r="E117" t="s">
        <v>20</v>
      </c>
      <c r="F117" t="s">
        <v>21</v>
      </c>
      <c r="G117" t="s">
        <v>22</v>
      </c>
      <c r="H117">
        <v>37987</v>
      </c>
      <c r="I117" t="s">
        <v>75</v>
      </c>
      <c r="J117" t="s">
        <v>76</v>
      </c>
      <c r="K117" t="s">
        <v>481</v>
      </c>
      <c r="L117" t="s">
        <v>26</v>
      </c>
      <c r="M117" t="s">
        <v>27</v>
      </c>
      <c r="N117" t="s">
        <v>77</v>
      </c>
      <c r="O117" t="s">
        <v>78</v>
      </c>
      <c r="P117" t="s">
        <v>162</v>
      </c>
    </row>
    <row r="118" spans="1:16" x14ac:dyDescent="0.25">
      <c r="A118" t="s">
        <v>31</v>
      </c>
      <c r="B118" t="s">
        <v>482</v>
      </c>
      <c r="C118" t="s">
        <v>483</v>
      </c>
      <c r="D118" t="s">
        <v>484</v>
      </c>
      <c r="E118" t="s">
        <v>20</v>
      </c>
      <c r="F118" t="s">
        <v>21</v>
      </c>
      <c r="G118" t="s">
        <v>22</v>
      </c>
      <c r="H118">
        <v>39814</v>
      </c>
      <c r="I118" t="s">
        <v>75</v>
      </c>
      <c r="J118" t="s">
        <v>174</v>
      </c>
      <c r="K118" t="s">
        <v>324</v>
      </c>
      <c r="L118" t="s">
        <v>26</v>
      </c>
      <c r="M118" t="s">
        <v>27</v>
      </c>
      <c r="N118" t="s">
        <v>31</v>
      </c>
      <c r="O118" t="s">
        <v>175</v>
      </c>
      <c r="P118" t="s">
        <v>176</v>
      </c>
    </row>
    <row r="119" spans="1:16" x14ac:dyDescent="0.25">
      <c r="A119" t="s">
        <v>95</v>
      </c>
      <c r="B119" t="s">
        <v>485</v>
      </c>
      <c r="C119" t="s">
        <v>486</v>
      </c>
      <c r="D119" t="s">
        <v>487</v>
      </c>
      <c r="E119" t="s">
        <v>20</v>
      </c>
      <c r="F119" t="s">
        <v>21</v>
      </c>
      <c r="G119" t="s">
        <v>22</v>
      </c>
      <c r="H119">
        <v>38718</v>
      </c>
      <c r="I119" t="s">
        <v>75</v>
      </c>
      <c r="J119" t="s">
        <v>76</v>
      </c>
      <c r="K119" t="s">
        <v>488</v>
      </c>
      <c r="L119" t="s">
        <v>26</v>
      </c>
      <c r="M119" t="s">
        <v>27</v>
      </c>
      <c r="N119" t="s">
        <v>100</v>
      </c>
      <c r="O119" t="s">
        <v>101</v>
      </c>
      <c r="P119" t="s">
        <v>489</v>
      </c>
    </row>
    <row r="120" spans="1:16" x14ac:dyDescent="0.25">
      <c r="A120" t="s">
        <v>43</v>
      </c>
      <c r="B120" t="s">
        <v>490</v>
      </c>
      <c r="C120" t="s">
        <v>132</v>
      </c>
      <c r="D120" t="s">
        <v>179</v>
      </c>
      <c r="E120" t="s">
        <v>20</v>
      </c>
      <c r="F120" t="s">
        <v>21</v>
      </c>
      <c r="G120" t="s">
        <v>22</v>
      </c>
      <c r="H120">
        <v>36892</v>
      </c>
      <c r="I120" t="s">
        <v>23</v>
      </c>
      <c r="J120" t="s">
        <v>47</v>
      </c>
      <c r="K120" t="s">
        <v>48</v>
      </c>
      <c r="L120" t="s">
        <v>26</v>
      </c>
      <c r="M120" t="s">
        <v>27</v>
      </c>
      <c r="N120" t="s">
        <v>49</v>
      </c>
      <c r="O120" t="s">
        <v>50</v>
      </c>
      <c r="P120" t="s">
        <v>51</v>
      </c>
    </row>
    <row r="121" spans="1:16" x14ac:dyDescent="0.25">
      <c r="A121" t="s">
        <v>31</v>
      </c>
      <c r="B121" t="s">
        <v>491</v>
      </c>
      <c r="C121" t="s">
        <v>463</v>
      </c>
      <c r="D121" t="s">
        <v>243</v>
      </c>
      <c r="E121" t="s">
        <v>20</v>
      </c>
      <c r="F121" t="s">
        <v>21</v>
      </c>
      <c r="G121" t="s">
        <v>22</v>
      </c>
      <c r="H121">
        <v>39814</v>
      </c>
      <c r="I121" t="s">
        <v>75</v>
      </c>
      <c r="J121" t="s">
        <v>174</v>
      </c>
      <c r="K121" t="s">
        <v>36</v>
      </c>
      <c r="L121" t="s">
        <v>26</v>
      </c>
      <c r="M121" t="s">
        <v>27</v>
      </c>
      <c r="N121" t="s">
        <v>31</v>
      </c>
      <c r="O121" t="s">
        <v>197</v>
      </c>
      <c r="P121" t="s">
        <v>465</v>
      </c>
    </row>
    <row r="122" spans="1:16" x14ac:dyDescent="0.25">
      <c r="A122" t="s">
        <v>31</v>
      </c>
      <c r="B122" t="s">
        <v>492</v>
      </c>
      <c r="C122" t="s">
        <v>493</v>
      </c>
      <c r="D122" t="s">
        <v>494</v>
      </c>
      <c r="E122" t="s">
        <v>20</v>
      </c>
      <c r="F122" t="s">
        <v>21</v>
      </c>
      <c r="G122" t="s">
        <v>22</v>
      </c>
      <c r="H122">
        <v>37987</v>
      </c>
      <c r="I122" t="s">
        <v>23</v>
      </c>
      <c r="J122" t="s">
        <v>35</v>
      </c>
      <c r="K122" t="s">
        <v>36</v>
      </c>
      <c r="L122" t="s">
        <v>26</v>
      </c>
      <c r="M122" t="s">
        <v>27</v>
      </c>
      <c r="N122" t="s">
        <v>31</v>
      </c>
      <c r="O122" t="s">
        <v>37</v>
      </c>
      <c r="P122" t="s">
        <v>495</v>
      </c>
    </row>
    <row r="123" spans="1:16" x14ac:dyDescent="0.25">
      <c r="A123" t="s">
        <v>31</v>
      </c>
      <c r="B123" t="s">
        <v>496</v>
      </c>
      <c r="C123" t="s">
        <v>497</v>
      </c>
      <c r="D123" t="s">
        <v>201</v>
      </c>
      <c r="E123" t="s">
        <v>20</v>
      </c>
      <c r="F123" t="s">
        <v>21</v>
      </c>
      <c r="G123" t="s">
        <v>22</v>
      </c>
      <c r="H123">
        <v>37987</v>
      </c>
      <c r="I123" t="s">
        <v>23</v>
      </c>
      <c r="J123" t="s">
        <v>35</v>
      </c>
      <c r="K123" t="s">
        <v>498</v>
      </c>
      <c r="L123" t="s">
        <v>26</v>
      </c>
      <c r="M123" t="s">
        <v>27</v>
      </c>
      <c r="N123" t="s">
        <v>31</v>
      </c>
      <c r="O123" t="s">
        <v>37</v>
      </c>
      <c r="P123" t="s">
        <v>188</v>
      </c>
    </row>
    <row r="124" spans="1:16" x14ac:dyDescent="0.25">
      <c r="A124" t="s">
        <v>31</v>
      </c>
      <c r="B124" t="s">
        <v>499</v>
      </c>
      <c r="C124" t="s">
        <v>500</v>
      </c>
      <c r="D124" t="s">
        <v>501</v>
      </c>
      <c r="E124" t="s">
        <v>20</v>
      </c>
      <c r="F124" t="s">
        <v>21</v>
      </c>
      <c r="G124" t="s">
        <v>22</v>
      </c>
      <c r="H124">
        <v>37987</v>
      </c>
      <c r="I124" t="s">
        <v>23</v>
      </c>
      <c r="J124" t="s">
        <v>35</v>
      </c>
      <c r="K124" t="s">
        <v>183</v>
      </c>
      <c r="L124" t="s">
        <v>26</v>
      </c>
      <c r="M124" t="s">
        <v>27</v>
      </c>
      <c r="N124" t="s">
        <v>31</v>
      </c>
      <c r="O124" t="s">
        <v>37</v>
      </c>
      <c r="P124" t="s">
        <v>216</v>
      </c>
    </row>
    <row r="125" spans="1:16" x14ac:dyDescent="0.25">
      <c r="A125" t="s">
        <v>43</v>
      </c>
      <c r="B125" t="s">
        <v>502</v>
      </c>
      <c r="C125" t="s">
        <v>503</v>
      </c>
      <c r="D125" t="s">
        <v>504</v>
      </c>
      <c r="E125" t="s">
        <v>20</v>
      </c>
      <c r="F125" t="s">
        <v>21</v>
      </c>
      <c r="G125" t="s">
        <v>22</v>
      </c>
      <c r="H125">
        <v>39814</v>
      </c>
      <c r="I125" t="s">
        <v>61</v>
      </c>
      <c r="J125" t="s">
        <v>62</v>
      </c>
      <c r="K125" t="s">
        <v>505</v>
      </c>
      <c r="L125" t="s">
        <v>26</v>
      </c>
      <c r="M125" t="s">
        <v>27</v>
      </c>
      <c r="N125" t="s">
        <v>49</v>
      </c>
      <c r="O125" t="s">
        <v>506</v>
      </c>
      <c r="P125" t="s">
        <v>507</v>
      </c>
    </row>
    <row r="126" spans="1:16" x14ac:dyDescent="0.25">
      <c r="A126" t="s">
        <v>43</v>
      </c>
      <c r="B126" t="s">
        <v>502</v>
      </c>
      <c r="C126" t="s">
        <v>503</v>
      </c>
      <c r="D126" t="s">
        <v>504</v>
      </c>
      <c r="E126" t="s">
        <v>20</v>
      </c>
      <c r="F126" t="s">
        <v>21</v>
      </c>
      <c r="G126" t="s">
        <v>22</v>
      </c>
      <c r="H126">
        <v>36892</v>
      </c>
      <c r="I126" t="s">
        <v>23</v>
      </c>
      <c r="J126" t="s">
        <v>47</v>
      </c>
      <c r="K126" t="s">
        <v>505</v>
      </c>
      <c r="L126" t="s">
        <v>26</v>
      </c>
      <c r="M126" t="s">
        <v>27</v>
      </c>
      <c r="N126" t="s">
        <v>49</v>
      </c>
      <c r="O126" t="s">
        <v>506</v>
      </c>
      <c r="P126" t="s">
        <v>507</v>
      </c>
    </row>
    <row r="127" spans="1:16" x14ac:dyDescent="0.25">
      <c r="A127" t="s">
        <v>31</v>
      </c>
      <c r="B127" t="s">
        <v>508</v>
      </c>
      <c r="C127" t="s">
        <v>509</v>
      </c>
      <c r="D127" t="s">
        <v>510</v>
      </c>
      <c r="E127" t="s">
        <v>20</v>
      </c>
      <c r="F127" t="s">
        <v>21</v>
      </c>
      <c r="G127" t="s">
        <v>22</v>
      </c>
      <c r="H127">
        <v>37987</v>
      </c>
      <c r="I127" t="s">
        <v>23</v>
      </c>
      <c r="J127" t="s">
        <v>35</v>
      </c>
      <c r="K127" t="s">
        <v>36</v>
      </c>
      <c r="L127" t="s">
        <v>26</v>
      </c>
      <c r="M127" t="s">
        <v>27</v>
      </c>
      <c r="N127" t="s">
        <v>31</v>
      </c>
      <c r="O127" t="s">
        <v>419</v>
      </c>
      <c r="P127" t="s">
        <v>511</v>
      </c>
    </row>
    <row r="128" spans="1:16" x14ac:dyDescent="0.25">
      <c r="A128" t="s">
        <v>31</v>
      </c>
      <c r="B128" t="s">
        <v>512</v>
      </c>
      <c r="C128" t="s">
        <v>234</v>
      </c>
      <c r="D128" t="s">
        <v>513</v>
      </c>
      <c r="E128" t="s">
        <v>20</v>
      </c>
      <c r="F128" t="s">
        <v>21</v>
      </c>
      <c r="G128" t="s">
        <v>22</v>
      </c>
      <c r="H128">
        <v>37987</v>
      </c>
      <c r="I128" t="s">
        <v>23</v>
      </c>
      <c r="J128" t="s">
        <v>35</v>
      </c>
      <c r="K128" t="s">
        <v>36</v>
      </c>
      <c r="L128" t="s">
        <v>26</v>
      </c>
      <c r="M128" t="s">
        <v>27</v>
      </c>
      <c r="N128" t="s">
        <v>31</v>
      </c>
      <c r="O128" t="s">
        <v>37</v>
      </c>
      <c r="P128" t="s">
        <v>236</v>
      </c>
    </row>
    <row r="129" spans="1:16" x14ac:dyDescent="0.25">
      <c r="A129" t="s">
        <v>31</v>
      </c>
      <c r="B129" t="s">
        <v>514</v>
      </c>
      <c r="C129" t="s">
        <v>185</v>
      </c>
      <c r="D129" t="s">
        <v>515</v>
      </c>
      <c r="E129" t="s">
        <v>20</v>
      </c>
      <c r="F129" t="s">
        <v>21</v>
      </c>
      <c r="G129" t="s">
        <v>22</v>
      </c>
      <c r="H129">
        <v>37987</v>
      </c>
      <c r="I129" t="s">
        <v>23</v>
      </c>
      <c r="J129" t="s">
        <v>35</v>
      </c>
      <c r="K129" t="s">
        <v>36</v>
      </c>
      <c r="L129" t="s">
        <v>26</v>
      </c>
      <c r="M129" t="s">
        <v>27</v>
      </c>
      <c r="N129" t="s">
        <v>31</v>
      </c>
      <c r="O129" t="s">
        <v>37</v>
      </c>
      <c r="P129" t="s">
        <v>188</v>
      </c>
    </row>
    <row r="130" spans="1:16" x14ac:dyDescent="0.25">
      <c r="A130" t="s">
        <v>31</v>
      </c>
      <c r="B130" t="s">
        <v>516</v>
      </c>
      <c r="C130" t="s">
        <v>517</v>
      </c>
      <c r="D130" t="s">
        <v>129</v>
      </c>
      <c r="E130" t="s">
        <v>20</v>
      </c>
      <c r="F130" t="s">
        <v>21</v>
      </c>
      <c r="G130" t="s">
        <v>22</v>
      </c>
      <c r="H130">
        <v>37987</v>
      </c>
      <c r="I130" t="s">
        <v>23</v>
      </c>
      <c r="J130" t="s">
        <v>35</v>
      </c>
      <c r="K130" t="s">
        <v>518</v>
      </c>
      <c r="L130" t="s">
        <v>26</v>
      </c>
      <c r="M130" t="s">
        <v>27</v>
      </c>
      <c r="N130" t="s">
        <v>31</v>
      </c>
      <c r="O130" t="s">
        <v>37</v>
      </c>
      <c r="P130" t="s">
        <v>188</v>
      </c>
    </row>
    <row r="131" spans="1:16" x14ac:dyDescent="0.25">
      <c r="A131" t="s">
        <v>16</v>
      </c>
      <c r="B131" t="s">
        <v>519</v>
      </c>
      <c r="C131" t="s">
        <v>520</v>
      </c>
      <c r="D131" t="s">
        <v>521</v>
      </c>
      <c r="E131" t="s">
        <v>20</v>
      </c>
      <c r="F131" t="s">
        <v>21</v>
      </c>
      <c r="G131" t="s">
        <v>22</v>
      </c>
      <c r="H131">
        <v>39083</v>
      </c>
      <c r="I131" t="s">
        <v>23</v>
      </c>
      <c r="J131" t="s">
        <v>24</v>
      </c>
      <c r="K131" t="s">
        <v>522</v>
      </c>
      <c r="L131" t="s">
        <v>26</v>
      </c>
      <c r="M131" t="s">
        <v>27</v>
      </c>
      <c r="N131" t="s">
        <v>28</v>
      </c>
      <c r="O131" t="s">
        <v>55</v>
      </c>
      <c r="P131" t="s">
        <v>523</v>
      </c>
    </row>
    <row r="132" spans="1:16" x14ac:dyDescent="0.25">
      <c r="A132" t="s">
        <v>31</v>
      </c>
      <c r="B132" t="s">
        <v>524</v>
      </c>
      <c r="C132" t="s">
        <v>262</v>
      </c>
      <c r="D132" t="s">
        <v>525</v>
      </c>
      <c r="E132" t="s">
        <v>20</v>
      </c>
      <c r="F132" t="s">
        <v>21</v>
      </c>
      <c r="G132" t="s">
        <v>22</v>
      </c>
      <c r="H132">
        <v>37987</v>
      </c>
      <c r="I132" t="s">
        <v>23</v>
      </c>
      <c r="J132" t="s">
        <v>35</v>
      </c>
      <c r="K132" t="s">
        <v>120</v>
      </c>
      <c r="L132" t="s">
        <v>26</v>
      </c>
      <c r="M132" t="s">
        <v>27</v>
      </c>
      <c r="N132" t="s">
        <v>31</v>
      </c>
      <c r="O132" t="s">
        <v>37</v>
      </c>
      <c r="P132" t="s">
        <v>148</v>
      </c>
    </row>
    <row r="133" spans="1:16" x14ac:dyDescent="0.25">
      <c r="A133" t="s">
        <v>16</v>
      </c>
      <c r="B133" t="s">
        <v>526</v>
      </c>
      <c r="C133" t="s">
        <v>527</v>
      </c>
      <c r="D133" t="s">
        <v>528</v>
      </c>
      <c r="E133" t="s">
        <v>20</v>
      </c>
      <c r="F133" t="s">
        <v>21</v>
      </c>
      <c r="G133" t="s">
        <v>22</v>
      </c>
      <c r="H133">
        <v>39083</v>
      </c>
      <c r="I133" t="s">
        <v>23</v>
      </c>
      <c r="J133" t="s">
        <v>24</v>
      </c>
      <c r="K133" t="s">
        <v>42</v>
      </c>
      <c r="L133" t="s">
        <v>26</v>
      </c>
      <c r="M133" t="s">
        <v>27</v>
      </c>
      <c r="N133" t="s">
        <v>28</v>
      </c>
      <c r="O133" t="s">
        <v>55</v>
      </c>
      <c r="P133" t="s">
        <v>212</v>
      </c>
    </row>
    <row r="134" spans="1:16" x14ac:dyDescent="0.25">
      <c r="A134" t="s">
        <v>31</v>
      </c>
      <c r="B134" t="s">
        <v>529</v>
      </c>
      <c r="C134" t="s">
        <v>530</v>
      </c>
      <c r="D134" t="s">
        <v>531</v>
      </c>
      <c r="E134" t="s">
        <v>20</v>
      </c>
      <c r="F134" t="s">
        <v>21</v>
      </c>
      <c r="G134" t="s">
        <v>22</v>
      </c>
      <c r="H134">
        <v>37987</v>
      </c>
      <c r="I134" t="s">
        <v>23</v>
      </c>
      <c r="J134" t="s">
        <v>35</v>
      </c>
      <c r="K134" t="s">
        <v>36</v>
      </c>
      <c r="L134" t="s">
        <v>26</v>
      </c>
      <c r="M134" t="s">
        <v>27</v>
      </c>
      <c r="N134" t="s">
        <v>31</v>
      </c>
      <c r="O134" t="s">
        <v>419</v>
      </c>
      <c r="P134" t="s">
        <v>532</v>
      </c>
    </row>
    <row r="135" spans="1:16" x14ac:dyDescent="0.25">
      <c r="A135" t="s">
        <v>31</v>
      </c>
      <c r="B135" t="s">
        <v>533</v>
      </c>
      <c r="C135" t="s">
        <v>534</v>
      </c>
      <c r="D135" t="s">
        <v>341</v>
      </c>
      <c r="E135" t="s">
        <v>20</v>
      </c>
      <c r="F135" t="s">
        <v>21</v>
      </c>
      <c r="G135" t="s">
        <v>22</v>
      </c>
      <c r="H135">
        <v>37987</v>
      </c>
      <c r="I135" t="s">
        <v>23</v>
      </c>
      <c r="J135" t="s">
        <v>35</v>
      </c>
      <c r="K135" t="s">
        <v>36</v>
      </c>
      <c r="L135" t="s">
        <v>26</v>
      </c>
      <c r="M135" t="s">
        <v>27</v>
      </c>
      <c r="N135" t="s">
        <v>31</v>
      </c>
      <c r="O135" t="s">
        <v>37</v>
      </c>
      <c r="P135" t="s">
        <v>408</v>
      </c>
    </row>
  </sheetData>
  <autoFilter ref="A1:P135" xr:uid="{9F7E5F3F-DA1A-4A2E-9B88-8F9BA4131B9C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E5F1-484C-4726-99C9-591CF6BD11BD}">
  <dimension ref="A1:I161"/>
  <sheetViews>
    <sheetView workbookViewId="0">
      <pane ySplit="3" topLeftCell="A4" activePane="bottomLeft" state="frozen"/>
      <selection pane="bottomLeft" activeCell="H9" sqref="H9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8" customWidth="1"/>
    <col min="4" max="4" width="16" customWidth="1"/>
    <col min="5" max="5" width="22" customWidth="1"/>
    <col min="6" max="6" width="38" customWidth="1"/>
    <col min="7" max="7" width="13" customWidth="1"/>
    <col min="8" max="8" width="38" customWidth="1"/>
    <col min="9" max="9" width="42.28515625" customWidth="1"/>
  </cols>
  <sheetData>
    <row r="1" spans="1:9" ht="27.95" customHeight="1" x14ac:dyDescent="0.25">
      <c r="A1" s="149" t="s">
        <v>3813</v>
      </c>
      <c r="B1" s="150"/>
      <c r="C1" s="150"/>
      <c r="D1" s="150"/>
      <c r="E1" s="150"/>
      <c r="F1" s="150"/>
    </row>
    <row r="2" spans="1:9" ht="15.95" customHeight="1" x14ac:dyDescent="0.25">
      <c r="A2" s="122" t="s">
        <v>535</v>
      </c>
      <c r="B2" s="123" t="s">
        <v>536</v>
      </c>
      <c r="C2" s="124" t="s">
        <v>537</v>
      </c>
      <c r="D2" s="125" t="s">
        <v>538</v>
      </c>
    </row>
    <row r="3" spans="1:9" ht="18" customHeight="1" x14ac:dyDescent="0.25">
      <c r="A3" s="126" t="s">
        <v>539</v>
      </c>
      <c r="B3" s="126" t="s">
        <v>540</v>
      </c>
      <c r="C3" s="126" t="s">
        <v>0</v>
      </c>
      <c r="D3" s="126" t="s">
        <v>541</v>
      </c>
      <c r="E3" s="126" t="s">
        <v>3655</v>
      </c>
      <c r="F3" s="126" t="s">
        <v>542</v>
      </c>
      <c r="G3" s="1"/>
      <c r="H3" s="2" t="s">
        <v>543</v>
      </c>
      <c r="I3" s="3" t="s">
        <v>3657</v>
      </c>
    </row>
    <row r="4" spans="1:9" ht="15" customHeight="1" x14ac:dyDescent="0.25">
      <c r="A4" s="127" t="s">
        <v>17</v>
      </c>
      <c r="B4" s="128" t="s">
        <v>544</v>
      </c>
      <c r="C4" s="129" t="s">
        <v>16</v>
      </c>
      <c r="D4" s="129" t="s">
        <v>544</v>
      </c>
      <c r="E4" s="129" t="s">
        <v>544</v>
      </c>
      <c r="F4" s="128" t="s">
        <v>544</v>
      </c>
      <c r="G4" s="4"/>
      <c r="H4" t="str">
        <f>IFERROR(INDEX('Normativa Especies'!$H$2:$H$995,MATCH(TRIM(A4),'Normativa Especies'!$M$2:$M$995,0)),"-")</f>
        <v>-</v>
      </c>
      <c r="I4" t="str">
        <f>IFERROR(INDEX(FAUNA!$D$2:$D$134,MATCH(TRIM(A4),FAUNA!$E$1:E134,0)),"-")</f>
        <v>-</v>
      </c>
    </row>
    <row r="5" spans="1:9" ht="15" customHeight="1" x14ac:dyDescent="0.25">
      <c r="A5" s="130" t="s">
        <v>32</v>
      </c>
      <c r="B5" s="131" t="s">
        <v>1008</v>
      </c>
      <c r="C5" s="132" t="s">
        <v>31</v>
      </c>
      <c r="D5" s="132" t="s">
        <v>547</v>
      </c>
      <c r="E5" s="132" t="s">
        <v>544</v>
      </c>
      <c r="F5" s="131" t="s">
        <v>544</v>
      </c>
      <c r="G5" s="5"/>
      <c r="H5" t="str">
        <f>IFERROR(INDEX('Normativa Especies'!$H$2:$H$995,MATCH(TRIM(A5),'Normativa Especies'!$M$2:$M$995,0)),"-")</f>
        <v>LESRPE</v>
      </c>
      <c r="I5" t="str">
        <f>IFERROR(INDEX(FAUNA!$D$2:$D$134,MATCH(TRIM(A5),FAUNA!$E$1:E135,0)),"-")</f>
        <v>-</v>
      </c>
    </row>
    <row r="6" spans="1:9" ht="15" customHeight="1" x14ac:dyDescent="0.25">
      <c r="A6" s="127" t="s">
        <v>39</v>
      </c>
      <c r="B6" s="128" t="s">
        <v>544</v>
      </c>
      <c r="C6" s="129" t="s">
        <v>16</v>
      </c>
      <c r="D6" s="129" t="s">
        <v>544</v>
      </c>
      <c r="E6" s="129" t="s">
        <v>544</v>
      </c>
      <c r="F6" s="128" t="s">
        <v>544</v>
      </c>
      <c r="G6" s="5"/>
      <c r="H6" t="str">
        <f>IFERROR(INDEX('Normativa Especies'!$H$2:$H$995,MATCH(TRIM(A6),'Normativa Especies'!$M$2:$M$995,0)),"-")</f>
        <v>-</v>
      </c>
      <c r="I6" t="str">
        <f>IFERROR(INDEX(FAUNA!$D$2:$D$134,MATCH(TRIM(A6),FAUNA!$E$1:E136,0)),"-")</f>
        <v>-</v>
      </c>
    </row>
    <row r="7" spans="1:9" ht="15" customHeight="1" x14ac:dyDescent="0.25">
      <c r="A7" s="127" t="s">
        <v>44</v>
      </c>
      <c r="B7" s="128" t="s">
        <v>544</v>
      </c>
      <c r="C7" s="129" t="s">
        <v>43</v>
      </c>
      <c r="D7" s="129" t="s">
        <v>544</v>
      </c>
      <c r="E7" s="129" t="s">
        <v>544</v>
      </c>
      <c r="F7" s="128" t="s">
        <v>544</v>
      </c>
      <c r="G7" s="4"/>
      <c r="H7" t="str">
        <f>IFERROR(INDEX('Normativa Especies'!$H$2:$H$995,MATCH(TRIM(A7),'Normativa Especies'!$M$2:$M$995,0)),"-")</f>
        <v>-</v>
      </c>
      <c r="I7" t="str">
        <f>IFERROR(INDEX(FAUNA!$D$2:$D$134,MATCH(TRIM(A7),FAUNA!$E$1:E137,0)),"-")</f>
        <v>-</v>
      </c>
    </row>
    <row r="8" spans="1:9" ht="15" customHeight="1" x14ac:dyDescent="0.25">
      <c r="A8" s="127" t="s">
        <v>52</v>
      </c>
      <c r="B8" s="128" t="s">
        <v>544</v>
      </c>
      <c r="C8" s="129" t="s">
        <v>16</v>
      </c>
      <c r="D8" s="129" t="s">
        <v>544</v>
      </c>
      <c r="E8" s="129" t="s">
        <v>544</v>
      </c>
      <c r="F8" s="128" t="s">
        <v>544</v>
      </c>
      <c r="G8" s="4"/>
      <c r="H8" t="str">
        <f>IFERROR(INDEX('Normativa Especies'!$H$2:$H$995,MATCH(TRIM(A8),'Normativa Especies'!$M$2:$M$995,0)),"-")</f>
        <v>-</v>
      </c>
      <c r="I8" t="str">
        <f>IFERROR(INDEX(FAUNA!$D$2:$D$134,MATCH(TRIM(A8),FAUNA!$E$1:E138,0)),"-")</f>
        <v>-</v>
      </c>
    </row>
    <row r="9" spans="1:9" ht="15" customHeight="1" x14ac:dyDescent="0.25">
      <c r="A9" s="127" t="s">
        <v>57</v>
      </c>
      <c r="B9" s="128" t="s">
        <v>544</v>
      </c>
      <c r="C9" s="129" t="s">
        <v>43</v>
      </c>
      <c r="D9" s="129" t="s">
        <v>544</v>
      </c>
      <c r="E9" s="129" t="s">
        <v>544</v>
      </c>
      <c r="F9" s="128" t="s">
        <v>544</v>
      </c>
      <c r="G9" s="4"/>
      <c r="H9" t="str">
        <f>IFERROR(INDEX('Normativa Especies'!$H$2:$H$995,MATCH(TRIM(A9),'Normativa Especies'!$M$2:$M$995,0)),"-")</f>
        <v>-</v>
      </c>
      <c r="I9" t="str">
        <f>IFERROR(INDEX(FAUNA!$D$2:$D$134,MATCH(TRIM(A9),FAUNA!$E$1:E139,0)),"-")</f>
        <v>-</v>
      </c>
    </row>
    <row r="10" spans="1:9" ht="15" customHeight="1" x14ac:dyDescent="0.25">
      <c r="A10" s="127" t="s">
        <v>65</v>
      </c>
      <c r="B10" s="128" t="s">
        <v>544</v>
      </c>
      <c r="C10" s="129" t="s">
        <v>16</v>
      </c>
      <c r="D10" s="129" t="s">
        <v>544</v>
      </c>
      <c r="E10" s="129" t="s">
        <v>544</v>
      </c>
      <c r="F10" s="128" t="s">
        <v>544</v>
      </c>
      <c r="G10" s="5"/>
      <c r="H10" t="str">
        <f>IFERROR(INDEX('Normativa Especies'!$H$2:$H$995,MATCH(TRIM(A10),'Normativa Especies'!$M$2:$M$995,0)),"-")</f>
        <v>-</v>
      </c>
      <c r="I10" t="str">
        <f>IFERROR(INDEX(FAUNA!$D$2:$D$134,MATCH(TRIM(A10),FAUNA!$E$1:E140,0)),"-")</f>
        <v>-</v>
      </c>
    </row>
    <row r="11" spans="1:9" ht="15" customHeight="1" x14ac:dyDescent="0.25">
      <c r="A11" s="130" t="s">
        <v>72</v>
      </c>
      <c r="B11" s="131" t="s">
        <v>554</v>
      </c>
      <c r="C11" s="132" t="s">
        <v>71</v>
      </c>
      <c r="D11" s="132" t="s">
        <v>547</v>
      </c>
      <c r="E11" s="132" t="s">
        <v>544</v>
      </c>
      <c r="F11" s="131" t="s">
        <v>544</v>
      </c>
      <c r="G11" s="5"/>
      <c r="H11" t="str">
        <f>IFERROR(INDEX('Normativa Especies'!$H$2:$H$995,MATCH(TRIM(A11),'Normativa Especies'!$M$2:$M$995,0)),"-")</f>
        <v>LESRPE</v>
      </c>
      <c r="I11" t="str">
        <f>IFERROR(INDEX(FAUNA!$D$2:$D$134,MATCH(TRIM(A11),FAUNA!$E$1:E141,0)),"-")</f>
        <v>-</v>
      </c>
    </row>
    <row r="12" spans="1:9" ht="15" customHeight="1" x14ac:dyDescent="0.25">
      <c r="A12" s="127" t="s">
        <v>80</v>
      </c>
      <c r="B12" s="128" t="s">
        <v>544</v>
      </c>
      <c r="C12" s="129" t="s">
        <v>16</v>
      </c>
      <c r="D12" s="129" t="s">
        <v>544</v>
      </c>
      <c r="E12" s="129" t="s">
        <v>544</v>
      </c>
      <c r="F12" s="128" t="s">
        <v>544</v>
      </c>
      <c r="G12" s="4"/>
      <c r="H12" t="str">
        <f>IFERROR(INDEX('Normativa Especies'!$H$2:$H$995,MATCH(TRIM(A12),'Normativa Especies'!$M$2:$M$995,0)),"-")</f>
        <v>-</v>
      </c>
      <c r="I12" t="str">
        <f>IFERROR(INDEX(FAUNA!$D$2:$D$134,MATCH(TRIM(A12),FAUNA!$E$1:E142,0)),"-")</f>
        <v>-</v>
      </c>
    </row>
    <row r="13" spans="1:9" ht="15" customHeight="1" x14ac:dyDescent="0.25">
      <c r="A13" s="130" t="s">
        <v>84</v>
      </c>
      <c r="B13" s="131" t="s">
        <v>555</v>
      </c>
      <c r="C13" s="132" t="s">
        <v>31</v>
      </c>
      <c r="D13" s="132" t="s">
        <v>547</v>
      </c>
      <c r="E13" s="132" t="s">
        <v>544</v>
      </c>
      <c r="F13" s="131" t="s">
        <v>544</v>
      </c>
      <c r="G13" s="5"/>
      <c r="H13" t="str">
        <f>IFERROR(INDEX('Normativa Especies'!$H$2:$H$995,MATCH(TRIM(A13),'Normativa Especies'!$M$2:$M$995,0)),"-")</f>
        <v>-</v>
      </c>
      <c r="I13" t="str">
        <f>IFERROR(INDEX(FAUNA!$D$2:$D$134,MATCH(TRIM(A13),FAUNA!$E$1:E143,0)),"-")</f>
        <v>-</v>
      </c>
    </row>
    <row r="14" spans="1:9" ht="15" customHeight="1" x14ac:dyDescent="0.25">
      <c r="A14" s="130" t="s">
        <v>89</v>
      </c>
      <c r="B14" s="131" t="s">
        <v>544</v>
      </c>
      <c r="C14" s="132" t="s">
        <v>31</v>
      </c>
      <c r="D14" s="132" t="s">
        <v>547</v>
      </c>
      <c r="E14" s="132" t="s">
        <v>3832</v>
      </c>
      <c r="F14" s="131" t="s">
        <v>3814</v>
      </c>
      <c r="G14" s="5"/>
      <c r="H14" t="str">
        <f>IFERROR(INDEX('Normativa Especies'!$H$2:$H$995,MATCH(TRIM(A14),'Normativa Especies'!$M$2:$M$995,0)),"-")</f>
        <v>LESRPE</v>
      </c>
      <c r="I14" t="str">
        <f>IFERROR(INDEX(FAUNA!$D$2:$D$134,MATCH(TRIM(A14),FAUNA!$E$1:E144,0)),"-")</f>
        <v>Sensibles a la alteración de su hábitat</v>
      </c>
    </row>
    <row r="15" spans="1:9" ht="15" customHeight="1" x14ac:dyDescent="0.25">
      <c r="A15" s="130" t="s">
        <v>96</v>
      </c>
      <c r="B15" s="131" t="s">
        <v>710</v>
      </c>
      <c r="C15" s="132" t="s">
        <v>95</v>
      </c>
      <c r="D15" s="132" t="s">
        <v>547</v>
      </c>
      <c r="E15" s="132" t="s">
        <v>544</v>
      </c>
      <c r="F15" s="131" t="s">
        <v>544</v>
      </c>
      <c r="G15" s="5"/>
      <c r="H15" t="str">
        <f>IFERROR(INDEX('Normativa Especies'!$H$2:$H$995,MATCH(TRIM(A15),'Normativa Especies'!$M$2:$M$995,0)),"-")</f>
        <v>LESRPE</v>
      </c>
      <c r="I15" t="str">
        <f>IFERROR(INDEX(FAUNA!$D$2:$D$134,MATCH(TRIM(A15),FAUNA!$E$1:E145,0)),"-")</f>
        <v>-</v>
      </c>
    </row>
    <row r="16" spans="1:9" ht="15" customHeight="1" x14ac:dyDescent="0.25">
      <c r="A16" s="130" t="s">
        <v>103</v>
      </c>
      <c r="B16" s="131" t="s">
        <v>565</v>
      </c>
      <c r="C16" s="132" t="s">
        <v>31</v>
      </c>
      <c r="D16" s="132" t="s">
        <v>547</v>
      </c>
      <c r="E16" s="132" t="s">
        <v>544</v>
      </c>
      <c r="F16" s="131" t="s">
        <v>544</v>
      </c>
      <c r="G16" s="5"/>
      <c r="H16" t="str">
        <f>IFERROR(INDEX('Normativa Especies'!$H$2:$H$995,MATCH(TRIM(A16),'Normativa Especies'!$M$2:$M$995,0)),"-")</f>
        <v>LESRPE</v>
      </c>
      <c r="I16" t="str">
        <f>IFERROR(INDEX(FAUNA!$D$2:$D$134,MATCH(TRIM(A16),FAUNA!$E$1:E146,0)),"-")</f>
        <v>-</v>
      </c>
    </row>
    <row r="17" spans="1:9" ht="15" customHeight="1" x14ac:dyDescent="0.25">
      <c r="A17" s="127" t="s">
        <v>107</v>
      </c>
      <c r="B17" s="128" t="s">
        <v>544</v>
      </c>
      <c r="C17" s="129" t="s">
        <v>16</v>
      </c>
      <c r="D17" s="129" t="s">
        <v>544</v>
      </c>
      <c r="E17" s="129" t="s">
        <v>544</v>
      </c>
      <c r="F17" s="128" t="s">
        <v>544</v>
      </c>
      <c r="G17" s="6"/>
      <c r="H17" t="str">
        <f>IFERROR(INDEX('Normativa Especies'!$H$2:$H$995,MATCH(TRIM(A17),'Normativa Especies'!$M$2:$M$995,0)),"-")</f>
        <v>-</v>
      </c>
      <c r="I17" t="str">
        <f>IFERROR(INDEX(FAUNA!$D$2:$D$134,MATCH(TRIM(A17),FAUNA!$E$1:E147,0)),"-")</f>
        <v>-</v>
      </c>
    </row>
    <row r="18" spans="1:9" ht="15" customHeight="1" x14ac:dyDescent="0.25">
      <c r="A18" s="127" t="s">
        <v>112</v>
      </c>
      <c r="B18" s="128" t="s">
        <v>544</v>
      </c>
      <c r="C18" s="129" t="s">
        <v>31</v>
      </c>
      <c r="D18" s="129" t="s">
        <v>544</v>
      </c>
      <c r="E18" s="129" t="s">
        <v>544</v>
      </c>
      <c r="F18" s="128" t="s">
        <v>544</v>
      </c>
      <c r="G18" s="5"/>
      <c r="H18" t="str">
        <f>IFERROR(INDEX('Normativa Especies'!$H$2:$H$995,MATCH(TRIM(A18),'Normativa Especies'!$M$2:$M$995,0)),"-")</f>
        <v>-</v>
      </c>
      <c r="I18" t="str">
        <f>IFERROR(INDEX(FAUNA!$D$2:$D$134,MATCH(TRIM(A18),FAUNA!$E$1:E148,0)),"-")</f>
        <v>-</v>
      </c>
    </row>
    <row r="19" spans="1:9" ht="15" customHeight="1" x14ac:dyDescent="0.25">
      <c r="A19" s="127" t="s">
        <v>117</v>
      </c>
      <c r="B19" s="128" t="s">
        <v>544</v>
      </c>
      <c r="C19" s="129" t="s">
        <v>31</v>
      </c>
      <c r="D19" s="129" t="s">
        <v>544</v>
      </c>
      <c r="E19" s="129" t="s">
        <v>544</v>
      </c>
      <c r="F19" s="128" t="s">
        <v>544</v>
      </c>
      <c r="G19" s="5"/>
      <c r="H19" t="str">
        <f>IFERROR(INDEX('Normativa Especies'!$H$2:$H$995,MATCH(TRIM(A19),'Normativa Especies'!$M$2:$M$995,0)),"-")</f>
        <v>-</v>
      </c>
      <c r="I19" t="str">
        <f>IFERROR(INDEX(FAUNA!$D$2:$D$134,MATCH(TRIM(A19),FAUNA!$E$1:E149,0)),"-")</f>
        <v>-</v>
      </c>
    </row>
    <row r="20" spans="1:9" ht="15" customHeight="1" x14ac:dyDescent="0.25">
      <c r="A20" s="127" t="s">
        <v>123</v>
      </c>
      <c r="B20" s="128" t="s">
        <v>544</v>
      </c>
      <c r="C20" s="129" t="s">
        <v>16</v>
      </c>
      <c r="D20" s="129" t="s">
        <v>544</v>
      </c>
      <c r="E20" s="129" t="s">
        <v>544</v>
      </c>
      <c r="F20" s="128" t="s">
        <v>544</v>
      </c>
      <c r="G20" s="4"/>
      <c r="H20" t="str">
        <f>IFERROR(INDEX('Normativa Especies'!$H$2:$H$995,MATCH(TRIM(A20),'Normativa Especies'!$M$2:$M$995,0)),"-")</f>
        <v>-</v>
      </c>
      <c r="I20" t="str">
        <f>IFERROR(INDEX(FAUNA!$D$2:$D$134,MATCH(TRIM(A20),FAUNA!$E$1:E150,0)),"-")</f>
        <v>-</v>
      </c>
    </row>
    <row r="21" spans="1:9" ht="15" customHeight="1" x14ac:dyDescent="0.25">
      <c r="A21" s="127" t="s">
        <v>127</v>
      </c>
      <c r="B21" s="128" t="s">
        <v>544</v>
      </c>
      <c r="C21" s="129" t="s">
        <v>31</v>
      </c>
      <c r="D21" s="129" t="s">
        <v>544</v>
      </c>
      <c r="E21" s="129" t="s">
        <v>544</v>
      </c>
      <c r="F21" s="128" t="s">
        <v>544</v>
      </c>
      <c r="G21" s="4"/>
      <c r="H21" t="str">
        <f>IFERROR(INDEX('Normativa Especies'!$H$2:$H$995,MATCH(TRIM(A21),'Normativa Especies'!$M$2:$M$995,0)),"-")</f>
        <v>-</v>
      </c>
      <c r="I21" t="str">
        <f>IFERROR(INDEX(FAUNA!$D$2:$D$134,MATCH(TRIM(A21),FAUNA!$E$1:E151,0)),"-")</f>
        <v>-</v>
      </c>
    </row>
    <row r="22" spans="1:9" ht="15" customHeight="1" x14ac:dyDescent="0.25">
      <c r="A22" s="130" t="s">
        <v>131</v>
      </c>
      <c r="B22" s="131" t="s">
        <v>3063</v>
      </c>
      <c r="C22" s="132" t="s">
        <v>43</v>
      </c>
      <c r="D22" s="132" t="s">
        <v>547</v>
      </c>
      <c r="E22" s="132" t="s">
        <v>544</v>
      </c>
      <c r="F22" s="131" t="s">
        <v>544</v>
      </c>
      <c r="G22" s="5"/>
      <c r="H22" t="str">
        <f>IFERROR(INDEX('Normativa Especies'!$H$2:$H$995,MATCH(TRIM(A22),'Normativa Especies'!$M$2:$M$995,0)),"-")</f>
        <v>LESRPE</v>
      </c>
      <c r="I22" t="str">
        <f>IFERROR(INDEX(FAUNA!$D$2:$D$134,MATCH(TRIM(A22),FAUNA!$E$1:E152,0)),"-")</f>
        <v>-</v>
      </c>
    </row>
    <row r="23" spans="1:9" ht="15" customHeight="1" x14ac:dyDescent="0.25">
      <c r="A23" s="130" t="s">
        <v>135</v>
      </c>
      <c r="B23" s="131" t="s">
        <v>582</v>
      </c>
      <c r="C23" s="132" t="s">
        <v>31</v>
      </c>
      <c r="D23" s="132" t="s">
        <v>547</v>
      </c>
      <c r="E23" s="132" t="s">
        <v>544</v>
      </c>
      <c r="F23" s="131" t="s">
        <v>544</v>
      </c>
      <c r="G23" s="5"/>
      <c r="H23" t="str">
        <f>IFERROR(INDEX('Normativa Especies'!$H$2:$H$995,MATCH(TRIM(A23),'Normativa Especies'!$M$2:$M$995,0)),"-")</f>
        <v>LESRPE</v>
      </c>
      <c r="I23" t="str">
        <f>IFERROR(INDEX(FAUNA!$D$2:$D$134,MATCH(TRIM(A23),FAUNA!$E$1:E153,0)),"-")</f>
        <v>-</v>
      </c>
    </row>
    <row r="24" spans="1:9" ht="15" customHeight="1" x14ac:dyDescent="0.25">
      <c r="A24" s="130" t="s">
        <v>138</v>
      </c>
      <c r="B24" s="131" t="s">
        <v>800</v>
      </c>
      <c r="C24" s="132" t="s">
        <v>31</v>
      </c>
      <c r="D24" s="132" t="s">
        <v>547</v>
      </c>
      <c r="E24" s="132" t="s">
        <v>544</v>
      </c>
      <c r="F24" s="131" t="s">
        <v>544</v>
      </c>
      <c r="G24" s="4"/>
      <c r="H24" t="str">
        <f>IFERROR(INDEX('Normativa Especies'!$H$2:$H$995,MATCH(TRIM(A24),'Normativa Especies'!$M$2:$M$995,0)),"-")</f>
        <v>LESRPE</v>
      </c>
      <c r="I24" t="str">
        <f>IFERROR(INDEX(FAUNA!$D$2:$D$134,MATCH(TRIM(A24),FAUNA!$E$1:E154,0)),"-")</f>
        <v>-</v>
      </c>
    </row>
    <row r="25" spans="1:9" ht="15" customHeight="1" x14ac:dyDescent="0.25">
      <c r="A25" s="127" t="s">
        <v>142</v>
      </c>
      <c r="B25" s="128" t="s">
        <v>544</v>
      </c>
      <c r="C25" s="129" t="s">
        <v>31</v>
      </c>
      <c r="D25" s="129" t="s">
        <v>544</v>
      </c>
      <c r="E25" s="129" t="s">
        <v>544</v>
      </c>
      <c r="F25" s="128" t="s">
        <v>544</v>
      </c>
      <c r="G25" s="5"/>
      <c r="H25" t="str">
        <f>IFERROR(INDEX('Normativa Especies'!$H$2:$H$995,MATCH(TRIM(A25),'Normativa Especies'!$M$2:$M$995,0)),"-")</f>
        <v>-</v>
      </c>
      <c r="I25" t="str">
        <f>IFERROR(INDEX(FAUNA!$D$2:$D$134,MATCH(TRIM(A25),FAUNA!$E$1:E155,0)),"-")</f>
        <v>-</v>
      </c>
    </row>
    <row r="26" spans="1:9" ht="15" customHeight="1" x14ac:dyDescent="0.25">
      <c r="A26" s="130" t="s">
        <v>144</v>
      </c>
      <c r="B26" s="131" t="s">
        <v>585</v>
      </c>
      <c r="C26" s="132" t="s">
        <v>31</v>
      </c>
      <c r="D26" s="132" t="s">
        <v>547</v>
      </c>
      <c r="E26" s="132" t="s">
        <v>544</v>
      </c>
      <c r="F26" s="131" t="s">
        <v>544</v>
      </c>
      <c r="G26" s="6"/>
      <c r="H26" t="str">
        <f>IFERROR(INDEX('Normativa Especies'!$H$2:$H$995,MATCH(TRIM(A26),'Normativa Especies'!$M$2:$M$995,0)),"-")</f>
        <v>LESRPE</v>
      </c>
      <c r="I26" t="str">
        <f>IFERROR(INDEX(FAUNA!$D$2:$D$134,MATCH(TRIM(A26),FAUNA!$E$1:E156,0)),"-")</f>
        <v>-</v>
      </c>
    </row>
    <row r="27" spans="1:9" ht="15" customHeight="1" x14ac:dyDescent="0.25">
      <c r="A27" s="133" t="s">
        <v>149</v>
      </c>
      <c r="B27" s="134" t="s">
        <v>3474</v>
      </c>
      <c r="C27" s="135" t="s">
        <v>31</v>
      </c>
      <c r="D27" s="135" t="s">
        <v>562</v>
      </c>
      <c r="E27" s="135" t="s">
        <v>3833</v>
      </c>
      <c r="F27" s="134" t="s">
        <v>3814</v>
      </c>
      <c r="G27" s="4"/>
      <c r="H27" t="str">
        <f>IFERROR(INDEX('Normativa Especies'!$H$2:$H$995,MATCH(TRIM(A27),'Normativa Especies'!$M$2:$M$995,0)),"-")</f>
        <v>-</v>
      </c>
      <c r="I27" t="str">
        <f>IFERROR(INDEX(FAUNA!$D$2:$D$134,MATCH(TRIM(A27),FAUNA!$E$1:E157,0)),"-")</f>
        <v>De interés especial</v>
      </c>
    </row>
    <row r="28" spans="1:9" ht="15" customHeight="1" x14ac:dyDescent="0.25">
      <c r="A28" s="127" t="s">
        <v>154</v>
      </c>
      <c r="B28" s="128" t="s">
        <v>544</v>
      </c>
      <c r="C28" s="129" t="s">
        <v>16</v>
      </c>
      <c r="D28" s="129" t="s">
        <v>544</v>
      </c>
      <c r="E28" s="129" t="s">
        <v>544</v>
      </c>
      <c r="F28" s="128" t="s">
        <v>544</v>
      </c>
      <c r="G28" s="4"/>
      <c r="H28" t="str">
        <f>IFERROR(INDEX('Normativa Especies'!$H$2:$H$995,MATCH(TRIM(A28),'Normativa Especies'!$M$2:$M$995,0)),"-")</f>
        <v>-</v>
      </c>
      <c r="I28" t="str">
        <f>IFERROR(INDEX(FAUNA!$D$2:$D$134,MATCH(TRIM(A28),FAUNA!$E$1:E158,0)),"-")</f>
        <v>-</v>
      </c>
    </row>
    <row r="29" spans="1:9" ht="15" customHeight="1" x14ac:dyDescent="0.25">
      <c r="A29" s="127" t="s">
        <v>158</v>
      </c>
      <c r="B29" s="128" t="s">
        <v>544</v>
      </c>
      <c r="C29" s="129" t="s">
        <v>71</v>
      </c>
      <c r="D29" s="129" t="s">
        <v>544</v>
      </c>
      <c r="E29" s="129" t="s">
        <v>544</v>
      </c>
      <c r="F29" s="128" t="s">
        <v>544</v>
      </c>
      <c r="G29" s="4"/>
      <c r="H29" t="str">
        <f>IFERROR(INDEX('Normativa Especies'!$H$2:$H$995,MATCH(TRIM(A29),'Normativa Especies'!$M$2:$M$995,0)),"-")</f>
        <v>-</v>
      </c>
      <c r="I29" t="str">
        <f>IFERROR(INDEX(FAUNA!$D$2:$D$134,MATCH(TRIM(A29),FAUNA!$E$1:E159,0)),"-")</f>
        <v>-</v>
      </c>
    </row>
    <row r="30" spans="1:9" ht="15" customHeight="1" x14ac:dyDescent="0.25">
      <c r="A30" s="127" t="s">
        <v>163</v>
      </c>
      <c r="B30" s="128" t="s">
        <v>544</v>
      </c>
      <c r="C30" s="129" t="s">
        <v>43</v>
      </c>
      <c r="D30" s="129" t="s">
        <v>544</v>
      </c>
      <c r="E30" s="129" t="s">
        <v>544</v>
      </c>
      <c r="F30" s="128" t="s">
        <v>544</v>
      </c>
      <c r="G30" s="5"/>
      <c r="H30" t="str">
        <f>IFERROR(INDEX('Normativa Especies'!$H$2:$H$995,MATCH(TRIM(A30),'Normativa Especies'!$M$2:$M$995,0)),"-")</f>
        <v>-</v>
      </c>
      <c r="I30" t="str">
        <f>IFERROR(INDEX(FAUNA!$D$2:$D$134,MATCH(TRIM(A30),FAUNA!$E$1:E160,0)),"-")</f>
        <v>-</v>
      </c>
    </row>
    <row r="31" spans="1:9" ht="15" customHeight="1" x14ac:dyDescent="0.25">
      <c r="A31" s="127" t="s">
        <v>167</v>
      </c>
      <c r="B31" s="128" t="s">
        <v>544</v>
      </c>
      <c r="C31" s="129" t="s">
        <v>31</v>
      </c>
      <c r="D31" s="129" t="s">
        <v>544</v>
      </c>
      <c r="E31" s="129" t="s">
        <v>544</v>
      </c>
      <c r="F31" s="128" t="s">
        <v>544</v>
      </c>
      <c r="G31" s="5"/>
      <c r="H31" t="str">
        <f>IFERROR(INDEX('Normativa Especies'!$H$2:$H$995,MATCH(TRIM(A31),'Normativa Especies'!$M$2:$M$995,0)),"-")</f>
        <v>-</v>
      </c>
      <c r="I31" t="str">
        <f>IFERROR(INDEX(FAUNA!$D$2:$D$134,MATCH(TRIM(A31),FAUNA!$E$1:E161,0)),"-")</f>
        <v>-</v>
      </c>
    </row>
    <row r="32" spans="1:9" ht="15" customHeight="1" x14ac:dyDescent="0.25">
      <c r="A32" s="130" t="s">
        <v>171</v>
      </c>
      <c r="B32" s="131" t="s">
        <v>586</v>
      </c>
      <c r="C32" s="132" t="s">
        <v>31</v>
      </c>
      <c r="D32" s="132" t="s">
        <v>547</v>
      </c>
      <c r="E32" s="132" t="s">
        <v>544</v>
      </c>
      <c r="F32" s="131" t="s">
        <v>544</v>
      </c>
      <c r="G32" s="4"/>
      <c r="H32" t="str">
        <f>IFERROR(INDEX('Normativa Especies'!$H$2:$H$995,MATCH(TRIM(A32),'Normativa Especies'!$M$2:$M$995,0)),"-")</f>
        <v>LESRPE</v>
      </c>
      <c r="I32" t="str">
        <f>IFERROR(INDEX(FAUNA!$D$2:$D$134,MATCH(TRIM(A32),FAUNA!$E$1:E162,0)),"-")</f>
        <v>-</v>
      </c>
    </row>
    <row r="33" spans="1:9" ht="15" customHeight="1" x14ac:dyDescent="0.25">
      <c r="A33" s="127" t="s">
        <v>177</v>
      </c>
      <c r="B33" s="128" t="s">
        <v>544</v>
      </c>
      <c r="C33" s="129" t="s">
        <v>43</v>
      </c>
      <c r="D33" s="129" t="s">
        <v>544</v>
      </c>
      <c r="E33" s="129" t="s">
        <v>544</v>
      </c>
      <c r="F33" s="128" t="s">
        <v>544</v>
      </c>
      <c r="G33" s="5"/>
      <c r="H33" t="str">
        <f>IFERROR(INDEX('Normativa Especies'!$H$2:$H$995,MATCH(TRIM(A33),'Normativa Especies'!$M$2:$M$995,0)),"-")</f>
        <v>-</v>
      </c>
      <c r="I33" t="str">
        <f>IFERROR(INDEX(FAUNA!$D$2:$D$134,MATCH(TRIM(A33),FAUNA!$E$1:E163,0)),"-")</f>
        <v>-</v>
      </c>
    </row>
    <row r="34" spans="1:9" ht="15" customHeight="1" x14ac:dyDescent="0.25">
      <c r="A34" s="130" t="s">
        <v>181</v>
      </c>
      <c r="B34" s="131" t="s">
        <v>544</v>
      </c>
      <c r="C34" s="132" t="s">
        <v>31</v>
      </c>
      <c r="D34" s="132" t="s">
        <v>547</v>
      </c>
      <c r="E34" s="132" t="s">
        <v>3833</v>
      </c>
      <c r="F34" s="131" t="s">
        <v>3814</v>
      </c>
      <c r="G34" s="5"/>
      <c r="H34" t="str">
        <f>IFERROR(INDEX('Normativa Especies'!$H$2:$H$995,MATCH(TRIM(A34),'Normativa Especies'!$M$2:$M$995,0)),"-")</f>
        <v>LESRPE</v>
      </c>
      <c r="I34" t="str">
        <f>IFERROR(INDEX(FAUNA!$D$2:$D$134,MATCH(TRIM(A34),FAUNA!$E$1:E164,0)),"-")</f>
        <v>De interés especial</v>
      </c>
    </row>
    <row r="35" spans="1:9" ht="15" customHeight="1" x14ac:dyDescent="0.25">
      <c r="A35" s="130" t="s">
        <v>184</v>
      </c>
      <c r="B35" s="131" t="s">
        <v>588</v>
      </c>
      <c r="C35" s="132" t="s">
        <v>31</v>
      </c>
      <c r="D35" s="132" t="s">
        <v>547</v>
      </c>
      <c r="E35" s="132" t="s">
        <v>544</v>
      </c>
      <c r="F35" s="131" t="s">
        <v>544</v>
      </c>
      <c r="G35" s="5"/>
      <c r="H35" t="str">
        <f>IFERROR(INDEX('Normativa Especies'!$H$2:$H$995,MATCH(TRIM(A35),'Normativa Especies'!$M$2:$M$995,0)),"-")</f>
        <v>LESRPE</v>
      </c>
      <c r="I35" t="str">
        <f>IFERROR(INDEX(FAUNA!$D$2:$D$134,MATCH(TRIM(A35),FAUNA!$E$1:E165,0)),"-")</f>
        <v>-</v>
      </c>
    </row>
    <row r="36" spans="1:9" ht="15" customHeight="1" x14ac:dyDescent="0.25">
      <c r="A36" s="127" t="s">
        <v>189</v>
      </c>
      <c r="B36" s="128" t="s">
        <v>544</v>
      </c>
      <c r="C36" s="129" t="s">
        <v>95</v>
      </c>
      <c r="D36" s="129" t="s">
        <v>544</v>
      </c>
      <c r="E36" s="129" t="s">
        <v>544</v>
      </c>
      <c r="F36" s="128" t="s">
        <v>544</v>
      </c>
      <c r="G36" s="5"/>
      <c r="H36" t="str">
        <f>IFERROR(INDEX('Normativa Especies'!$H$2:$H$995,MATCH(TRIM(A36),'Normativa Especies'!$M$2:$M$995,0)),"-")</f>
        <v>-</v>
      </c>
      <c r="I36" t="str">
        <f>IFERROR(INDEX(FAUNA!$D$2:$D$134,MATCH(TRIM(A36),FAUNA!$E$1:E166,0)),"-")</f>
        <v>-</v>
      </c>
    </row>
    <row r="37" spans="1:9" ht="15" customHeight="1" x14ac:dyDescent="0.25">
      <c r="A37" s="130" t="s">
        <v>194</v>
      </c>
      <c r="B37" s="131" t="s">
        <v>591</v>
      </c>
      <c r="C37" s="132" t="s">
        <v>31</v>
      </c>
      <c r="D37" s="132" t="s">
        <v>547</v>
      </c>
      <c r="E37" s="132" t="s">
        <v>544</v>
      </c>
      <c r="F37" s="131" t="s">
        <v>544</v>
      </c>
      <c r="G37" s="5"/>
      <c r="H37" t="str">
        <f>IFERROR(INDEX('Normativa Especies'!$H$2:$H$995,MATCH(TRIM(A37),'Normativa Especies'!$M$2:$M$995,0)),"-")</f>
        <v>LESRPE</v>
      </c>
      <c r="I37" t="str">
        <f>IFERROR(INDEX(FAUNA!$D$2:$D$134,MATCH(TRIM(A37),FAUNA!$E$1:E167,0)),"-")</f>
        <v>-</v>
      </c>
    </row>
    <row r="38" spans="1:9" ht="15" customHeight="1" x14ac:dyDescent="0.25">
      <c r="A38" s="130" t="s">
        <v>199</v>
      </c>
      <c r="B38" s="131" t="s">
        <v>592</v>
      </c>
      <c r="C38" s="132" t="s">
        <v>31</v>
      </c>
      <c r="D38" s="132" t="s">
        <v>547</v>
      </c>
      <c r="E38" s="132" t="s">
        <v>544</v>
      </c>
      <c r="F38" s="131" t="s">
        <v>544</v>
      </c>
      <c r="G38" s="4"/>
      <c r="H38" t="str">
        <f>IFERROR(INDEX('Normativa Especies'!$H$2:$H$995,MATCH(TRIM(A38),'Normativa Especies'!$M$2:$M$995,0)),"-")</f>
        <v>LESRPE</v>
      </c>
      <c r="I38" t="str">
        <f>IFERROR(INDEX(FAUNA!$D$2:$D$134,MATCH(TRIM(A38),FAUNA!$E$1:E168,0)),"-")</f>
        <v>-</v>
      </c>
    </row>
    <row r="39" spans="1:9" ht="15" customHeight="1" x14ac:dyDescent="0.25">
      <c r="A39" s="127" t="s">
        <v>204</v>
      </c>
      <c r="B39" s="128" t="s">
        <v>544</v>
      </c>
      <c r="C39" s="129" t="s">
        <v>43</v>
      </c>
      <c r="D39" s="129" t="s">
        <v>544</v>
      </c>
      <c r="E39" s="129" t="s">
        <v>544</v>
      </c>
      <c r="F39" s="128" t="s">
        <v>544</v>
      </c>
      <c r="G39" s="4"/>
      <c r="H39" t="str">
        <f>IFERROR(INDEX('Normativa Especies'!$H$2:$H$995,MATCH(TRIM(A39),'Normativa Especies'!$M$2:$M$995,0)),"-")</f>
        <v>-</v>
      </c>
      <c r="I39" t="str">
        <f>IFERROR(INDEX(FAUNA!$D$2:$D$134,MATCH(TRIM(A39),FAUNA!$E$1:E169,0)),"-")</f>
        <v>-</v>
      </c>
    </row>
    <row r="40" spans="1:9" ht="15" customHeight="1" x14ac:dyDescent="0.25">
      <c r="A40" s="127" t="s">
        <v>208</v>
      </c>
      <c r="B40" s="128" t="s">
        <v>544</v>
      </c>
      <c r="C40" s="129" t="s">
        <v>16</v>
      </c>
      <c r="D40" s="129" t="s">
        <v>544</v>
      </c>
      <c r="E40" s="129" t="s">
        <v>544</v>
      </c>
      <c r="F40" s="128" t="s">
        <v>544</v>
      </c>
      <c r="G40" s="5"/>
      <c r="H40" t="str">
        <f>IFERROR(INDEX('Normativa Especies'!$H$2:$H$995,MATCH(TRIM(A40),'Normativa Especies'!$M$2:$M$995,0)),"-")</f>
        <v>-</v>
      </c>
      <c r="I40" t="str">
        <f>IFERROR(INDEX(FAUNA!$D$2:$D$134,MATCH(TRIM(A40),FAUNA!$E$1:E170,0)),"-")</f>
        <v>-</v>
      </c>
    </row>
    <row r="41" spans="1:9" ht="15" customHeight="1" x14ac:dyDescent="0.25">
      <c r="A41" s="130" t="s">
        <v>213</v>
      </c>
      <c r="B41" s="131" t="s">
        <v>597</v>
      </c>
      <c r="C41" s="132" t="s">
        <v>31</v>
      </c>
      <c r="D41" s="132" t="s">
        <v>547</v>
      </c>
      <c r="E41" s="132" t="s">
        <v>544</v>
      </c>
      <c r="F41" s="131" t="s">
        <v>544</v>
      </c>
      <c r="G41" s="5"/>
      <c r="H41" t="str">
        <f>IFERROR(INDEX('Normativa Especies'!$H$2:$H$995,MATCH(TRIM(A41),'Normativa Especies'!$M$2:$M$995,0)),"-")</f>
        <v>LESRPE</v>
      </c>
      <c r="I41" t="str">
        <f>IFERROR(INDEX(FAUNA!$D$2:$D$134,MATCH(TRIM(A41),FAUNA!$E$1:E171,0)),"-")</f>
        <v>-</v>
      </c>
    </row>
    <row r="42" spans="1:9" ht="15" customHeight="1" x14ac:dyDescent="0.25">
      <c r="A42" s="127" t="s">
        <v>217</v>
      </c>
      <c r="B42" s="128" t="s">
        <v>544</v>
      </c>
      <c r="C42" s="129" t="s">
        <v>31</v>
      </c>
      <c r="D42" s="129" t="s">
        <v>544</v>
      </c>
      <c r="E42" s="129" t="s">
        <v>544</v>
      </c>
      <c r="F42" s="128" t="s">
        <v>544</v>
      </c>
      <c r="G42" s="4"/>
      <c r="H42" t="str">
        <f>IFERROR(INDEX('Normativa Especies'!$H$2:$H$995,MATCH(TRIM(A42),'Normativa Especies'!$M$2:$M$995,0)),"-")</f>
        <v>-</v>
      </c>
      <c r="I42" t="str">
        <f>IFERROR(INDEX(FAUNA!$D$2:$D$134,MATCH(TRIM(A42),FAUNA!$E$1:E172,0)),"-")</f>
        <v>-</v>
      </c>
    </row>
    <row r="43" spans="1:9" ht="15" customHeight="1" x14ac:dyDescent="0.25">
      <c r="A43" s="127" t="s">
        <v>220</v>
      </c>
      <c r="B43" s="128" t="s">
        <v>544</v>
      </c>
      <c r="C43" s="129" t="s">
        <v>31</v>
      </c>
      <c r="D43" s="129" t="s">
        <v>544</v>
      </c>
      <c r="E43" s="129" t="s">
        <v>544</v>
      </c>
      <c r="F43" s="128" t="s">
        <v>544</v>
      </c>
      <c r="G43" s="5"/>
      <c r="H43" t="str">
        <f>IFERROR(INDEX('Normativa Especies'!$H$2:$H$995,MATCH(TRIM(A43),'Normativa Especies'!$M$2:$M$995,0)),"-")</f>
        <v>-</v>
      </c>
      <c r="I43" t="str">
        <f>IFERROR(INDEX(FAUNA!$D$2:$D$134,MATCH(TRIM(A43),FAUNA!$E$1:E173,0)),"-")</f>
        <v>-</v>
      </c>
    </row>
    <row r="44" spans="1:9" ht="15" customHeight="1" x14ac:dyDescent="0.25">
      <c r="A44" s="127" t="s">
        <v>224</v>
      </c>
      <c r="B44" s="128" t="s">
        <v>544</v>
      </c>
      <c r="C44" s="129" t="s">
        <v>31</v>
      </c>
      <c r="D44" s="129" t="s">
        <v>544</v>
      </c>
      <c r="E44" s="129" t="s">
        <v>544</v>
      </c>
      <c r="F44" s="128" t="s">
        <v>544</v>
      </c>
      <c r="G44" s="4"/>
      <c r="H44" t="str">
        <f>IFERROR(INDEX('Normativa Especies'!$H$2:$H$995,MATCH(TRIM(A44),'Normativa Especies'!$M$2:$M$995,0)),"-")</f>
        <v>-</v>
      </c>
      <c r="I44" t="str">
        <f>IFERROR(INDEX(FAUNA!$D$2:$D$134,MATCH(TRIM(A44),FAUNA!$E$1:E174,0)),"-")</f>
        <v>-</v>
      </c>
    </row>
    <row r="45" spans="1:9" ht="15" customHeight="1" x14ac:dyDescent="0.25">
      <c r="A45" s="133" t="s">
        <v>227</v>
      </c>
      <c r="B45" s="134" t="s">
        <v>544</v>
      </c>
      <c r="C45" s="135" t="s">
        <v>31</v>
      </c>
      <c r="D45" s="135" t="s">
        <v>562</v>
      </c>
      <c r="E45" s="135" t="s">
        <v>3834</v>
      </c>
      <c r="F45" s="134" t="s">
        <v>3814</v>
      </c>
      <c r="G45" s="5"/>
      <c r="H45" t="str">
        <f>IFERROR(INDEX('Normativa Especies'!$H$2:$H$995,MATCH(TRIM(A45),'Normativa Especies'!$M$2:$M$995,0)),"-")</f>
        <v>Vulnerable</v>
      </c>
      <c r="I45" t="str">
        <f>IFERROR(INDEX(FAUNA!$D$2:$D$134,MATCH(TRIM(A45),FAUNA!$E$1:E175,0)),"-")</f>
        <v>Vulnerables</v>
      </c>
    </row>
    <row r="46" spans="1:9" ht="15" customHeight="1" x14ac:dyDescent="0.25">
      <c r="A46" s="130" t="s">
        <v>229</v>
      </c>
      <c r="B46" s="131" t="s">
        <v>598</v>
      </c>
      <c r="C46" s="132" t="s">
        <v>31</v>
      </c>
      <c r="D46" s="132" t="s">
        <v>547</v>
      </c>
      <c r="E46" s="132" t="s">
        <v>544</v>
      </c>
      <c r="F46" s="131" t="s">
        <v>544</v>
      </c>
      <c r="G46" s="5"/>
      <c r="H46" t="str">
        <f>IFERROR(INDEX('Normativa Especies'!$H$2:$H$995,MATCH(TRIM(A46),'Normativa Especies'!$M$2:$M$995,0)),"-")</f>
        <v>LESRPE</v>
      </c>
      <c r="I46" t="str">
        <f>IFERROR(INDEX(FAUNA!$D$2:$D$134,MATCH(TRIM(A46),FAUNA!$E$1:E176,0)),"-")</f>
        <v>-</v>
      </c>
    </row>
    <row r="47" spans="1:9" ht="15" customHeight="1" x14ac:dyDescent="0.25">
      <c r="A47" s="127" t="s">
        <v>233</v>
      </c>
      <c r="B47" s="128" t="s">
        <v>544</v>
      </c>
      <c r="C47" s="129" t="s">
        <v>31</v>
      </c>
      <c r="D47" s="129" t="s">
        <v>544</v>
      </c>
      <c r="E47" s="129" t="s">
        <v>544</v>
      </c>
      <c r="F47" s="128" t="s">
        <v>544</v>
      </c>
      <c r="G47" s="5"/>
      <c r="H47" t="str">
        <f>IFERROR(INDEX('Normativa Especies'!$H$2:$H$995,MATCH(TRIM(A47),'Normativa Especies'!$M$2:$M$995,0)),"-")</f>
        <v>-</v>
      </c>
      <c r="I47" t="str">
        <f>IFERROR(INDEX(FAUNA!$D$2:$D$134,MATCH(TRIM(A47),FAUNA!$E$1:E177,0)),"-")</f>
        <v>De interés especial</v>
      </c>
    </row>
    <row r="48" spans="1:9" ht="15" customHeight="1" x14ac:dyDescent="0.25">
      <c r="A48" s="130" t="s">
        <v>237</v>
      </c>
      <c r="B48" s="131" t="s">
        <v>603</v>
      </c>
      <c r="C48" s="132" t="s">
        <v>31</v>
      </c>
      <c r="D48" s="132" t="s">
        <v>547</v>
      </c>
      <c r="E48" s="132" t="s">
        <v>544</v>
      </c>
      <c r="F48" s="131" t="s">
        <v>544</v>
      </c>
      <c r="G48" s="6"/>
      <c r="H48" t="str">
        <f>IFERROR(INDEX('Normativa Especies'!$H$2:$H$995,MATCH(TRIM(A48),'Normativa Especies'!$M$2:$M$995,0)),"-")</f>
        <v>LESRPE</v>
      </c>
      <c r="I48" t="str">
        <f>IFERROR(INDEX(FAUNA!$D$2:$D$134,MATCH(TRIM(A48),FAUNA!$E$1:E178,0)),"-")</f>
        <v>-</v>
      </c>
    </row>
    <row r="49" spans="1:9" ht="15" customHeight="1" x14ac:dyDescent="0.25">
      <c r="A49" s="127" t="s">
        <v>241</v>
      </c>
      <c r="B49" s="128" t="s">
        <v>544</v>
      </c>
      <c r="C49" s="129" t="s">
        <v>16</v>
      </c>
      <c r="D49" s="129" t="s">
        <v>544</v>
      </c>
      <c r="E49" s="129" t="s">
        <v>544</v>
      </c>
      <c r="F49" s="128" t="s">
        <v>544</v>
      </c>
      <c r="G49" s="4"/>
      <c r="H49" t="str">
        <f>IFERROR(INDEX('Normativa Especies'!$H$2:$H$995,MATCH(TRIM(A49),'Normativa Especies'!$M$2:$M$995,0)),"-")</f>
        <v>-</v>
      </c>
      <c r="I49" t="str">
        <f>IFERROR(INDEX(FAUNA!$D$2:$D$134,MATCH(TRIM(A49),FAUNA!$E$1:E179,0)),"-")</f>
        <v>-</v>
      </c>
    </row>
    <row r="50" spans="1:9" ht="15" customHeight="1" x14ac:dyDescent="0.25">
      <c r="A50" s="127" t="s">
        <v>246</v>
      </c>
      <c r="B50" s="128" t="s">
        <v>544</v>
      </c>
      <c r="C50" s="129" t="s">
        <v>31</v>
      </c>
      <c r="D50" s="129" t="s">
        <v>544</v>
      </c>
      <c r="E50" s="129" t="s">
        <v>544</v>
      </c>
      <c r="F50" s="128" t="s">
        <v>544</v>
      </c>
      <c r="G50" s="5"/>
      <c r="H50" t="str">
        <f>IFERROR(INDEX('Normativa Especies'!$H$2:$H$995,MATCH(TRIM(A50),'Normativa Especies'!$M$2:$M$995,0)),"-")</f>
        <v>-</v>
      </c>
      <c r="I50" t="str">
        <f>IFERROR(INDEX(FAUNA!$D$2:$D$134,MATCH(TRIM(A50),FAUNA!$E$1:E180,0)),"-")</f>
        <v>-</v>
      </c>
    </row>
    <row r="51" spans="1:9" ht="15" customHeight="1" x14ac:dyDescent="0.25">
      <c r="A51" s="127" t="s">
        <v>250</v>
      </c>
      <c r="B51" s="128" t="s">
        <v>544</v>
      </c>
      <c r="C51" s="129" t="s">
        <v>16</v>
      </c>
      <c r="D51" s="129" t="s">
        <v>544</v>
      </c>
      <c r="E51" s="129" t="s">
        <v>544</v>
      </c>
      <c r="F51" s="128" t="s">
        <v>544</v>
      </c>
      <c r="G51" s="5"/>
      <c r="H51" t="str">
        <f>IFERROR(INDEX('Normativa Especies'!$H$2:$H$995,MATCH(TRIM(A51),'Normativa Especies'!$M$2:$M$995,0)),"-")</f>
        <v>-</v>
      </c>
      <c r="I51" t="str">
        <f>IFERROR(INDEX(FAUNA!$D$2:$D$134,MATCH(TRIM(A51),FAUNA!$E$1:E181,0)),"-")</f>
        <v>-</v>
      </c>
    </row>
    <row r="52" spans="1:9" ht="15" customHeight="1" x14ac:dyDescent="0.25">
      <c r="A52" s="130" t="s">
        <v>609</v>
      </c>
      <c r="B52" s="131" t="s">
        <v>610</v>
      </c>
      <c r="C52" s="132" t="s">
        <v>71</v>
      </c>
      <c r="D52" s="132" t="s">
        <v>547</v>
      </c>
      <c r="E52" s="132" t="s">
        <v>544</v>
      </c>
      <c r="F52" s="131" t="s">
        <v>544</v>
      </c>
      <c r="G52" s="4"/>
      <c r="H52" t="str">
        <f>IFERROR(INDEX('Normativa Especies'!$H$2:$H$995,MATCH(TRIM(A52),'Normativa Especies'!$M$2:$M$995,0)),"-")</f>
        <v>-</v>
      </c>
      <c r="I52" t="str">
        <f>IFERROR(INDEX(FAUNA!$D$2:$D$134,MATCH(TRIM(A52),FAUNA!$E$1:E182,0)),"-")</f>
        <v>-</v>
      </c>
    </row>
    <row r="53" spans="1:9" ht="15" customHeight="1" x14ac:dyDescent="0.25">
      <c r="A53" s="127" t="s">
        <v>259</v>
      </c>
      <c r="B53" s="128" t="s">
        <v>544</v>
      </c>
      <c r="C53" s="129" t="s">
        <v>31</v>
      </c>
      <c r="D53" s="129" t="s">
        <v>544</v>
      </c>
      <c r="E53" s="129" t="s">
        <v>544</v>
      </c>
      <c r="F53" s="128" t="s">
        <v>544</v>
      </c>
      <c r="G53" s="4"/>
      <c r="H53" t="str">
        <f>IFERROR(INDEX('Normativa Especies'!$H$2:$H$995,MATCH(TRIM(A53),'Normativa Especies'!$M$2:$M$995,0)),"-")</f>
        <v>-</v>
      </c>
      <c r="I53" t="str">
        <f>IFERROR(INDEX(FAUNA!$D$2:$D$134,MATCH(TRIM(A53),FAUNA!$E$1:E183,0)),"-")</f>
        <v>-</v>
      </c>
    </row>
    <row r="54" spans="1:9" ht="15" customHeight="1" x14ac:dyDescent="0.25">
      <c r="A54" s="130" t="s">
        <v>261</v>
      </c>
      <c r="B54" s="131" t="s">
        <v>611</v>
      </c>
      <c r="C54" s="132" t="s">
        <v>31</v>
      </c>
      <c r="D54" s="132" t="s">
        <v>547</v>
      </c>
      <c r="E54" s="132" t="s">
        <v>544</v>
      </c>
      <c r="F54" s="131" t="s">
        <v>544</v>
      </c>
      <c r="G54" s="5"/>
      <c r="H54" t="str">
        <f>IFERROR(INDEX('Normativa Especies'!$H$2:$H$995,MATCH(TRIM(A54),'Normativa Especies'!$M$2:$M$995,0)),"-")</f>
        <v>LESRPE</v>
      </c>
      <c r="I54" t="str">
        <f>IFERROR(INDEX(FAUNA!$D$2:$D$134,MATCH(TRIM(A54),FAUNA!$E$1:E184,0)),"-")</f>
        <v>-</v>
      </c>
    </row>
    <row r="55" spans="1:9" ht="15" customHeight="1" x14ac:dyDescent="0.25">
      <c r="A55" s="130" t="s">
        <v>264</v>
      </c>
      <c r="B55" s="131" t="s">
        <v>612</v>
      </c>
      <c r="C55" s="132" t="s">
        <v>31</v>
      </c>
      <c r="D55" s="132" t="s">
        <v>547</v>
      </c>
      <c r="E55" s="132" t="s">
        <v>544</v>
      </c>
      <c r="F55" s="131" t="s">
        <v>544</v>
      </c>
      <c r="G55" s="5"/>
      <c r="H55" t="str">
        <f>IFERROR(INDEX('Normativa Especies'!$H$2:$H$995,MATCH(TRIM(A55),'Normativa Especies'!$M$2:$M$995,0)),"-")</f>
        <v>LESRPE</v>
      </c>
      <c r="I55" t="str">
        <f>IFERROR(INDEX(FAUNA!$D$2:$D$134,MATCH(TRIM(A55),FAUNA!$E$1:E185,0)),"-")</f>
        <v>-</v>
      </c>
    </row>
    <row r="56" spans="1:9" ht="15" customHeight="1" x14ac:dyDescent="0.25">
      <c r="A56" s="130" t="s">
        <v>267</v>
      </c>
      <c r="B56" s="131" t="s">
        <v>613</v>
      </c>
      <c r="C56" s="132" t="s">
        <v>31</v>
      </c>
      <c r="D56" s="132" t="s">
        <v>547</v>
      </c>
      <c r="E56" s="132" t="s">
        <v>544</v>
      </c>
      <c r="F56" s="131" t="s">
        <v>544</v>
      </c>
      <c r="G56" s="4"/>
      <c r="H56" t="str">
        <f>IFERROR(INDEX('Normativa Especies'!$H$2:$H$995,MATCH(TRIM(A56),'Normativa Especies'!$M$2:$M$995,0)),"-")</f>
        <v>LESRPE</v>
      </c>
      <c r="I56" t="str">
        <f>IFERROR(INDEX(FAUNA!$D$2:$D$134,MATCH(TRIM(A56),FAUNA!$E$1:E186,0)),"-")</f>
        <v>-</v>
      </c>
    </row>
    <row r="57" spans="1:9" ht="15" customHeight="1" x14ac:dyDescent="0.25">
      <c r="A57" s="127" t="s">
        <v>270</v>
      </c>
      <c r="B57" s="128" t="s">
        <v>544</v>
      </c>
      <c r="C57" s="129" t="s">
        <v>16</v>
      </c>
      <c r="D57" s="129" t="s">
        <v>544</v>
      </c>
      <c r="E57" s="129" t="s">
        <v>544</v>
      </c>
      <c r="F57" s="128" t="s">
        <v>544</v>
      </c>
      <c r="G57" s="5"/>
      <c r="H57" t="str">
        <f>IFERROR(INDEX('Normativa Especies'!$H$2:$H$995,MATCH(TRIM(A57),'Normativa Especies'!$M$2:$M$995,0)),"-")</f>
        <v>-</v>
      </c>
      <c r="I57" t="str">
        <f>IFERROR(INDEX(FAUNA!$D$2:$D$134,MATCH(TRIM(A57),FAUNA!$E$1:E187,0)),"-")</f>
        <v>-</v>
      </c>
    </row>
    <row r="58" spans="1:9" ht="15" customHeight="1" x14ac:dyDescent="0.25">
      <c r="A58" s="127" t="s">
        <v>274</v>
      </c>
      <c r="B58" s="128" t="s">
        <v>544</v>
      </c>
      <c r="C58" s="129" t="s">
        <v>16</v>
      </c>
      <c r="D58" s="129" t="s">
        <v>544</v>
      </c>
      <c r="E58" s="129" t="s">
        <v>544</v>
      </c>
      <c r="F58" s="128" t="s">
        <v>544</v>
      </c>
      <c r="G58" s="5"/>
      <c r="H58" t="str">
        <f>IFERROR(INDEX('Normativa Especies'!$H$2:$H$995,MATCH(TRIM(A58),'Normativa Especies'!$M$2:$M$995,0)),"-")</f>
        <v>-</v>
      </c>
      <c r="I58" t="str">
        <f>IFERROR(INDEX(FAUNA!$D$2:$D$134,MATCH(TRIM(A58),FAUNA!$E$1:E188,0)),"-")</f>
        <v>-</v>
      </c>
    </row>
    <row r="59" spans="1:9" ht="15" customHeight="1" x14ac:dyDescent="0.25">
      <c r="A59" s="127" t="s">
        <v>278</v>
      </c>
      <c r="B59" s="128" t="s">
        <v>544</v>
      </c>
      <c r="C59" s="129" t="s">
        <v>31</v>
      </c>
      <c r="D59" s="129" t="s">
        <v>544</v>
      </c>
      <c r="E59" s="129" t="s">
        <v>544</v>
      </c>
      <c r="F59" s="128" t="s">
        <v>544</v>
      </c>
      <c r="G59" s="5"/>
      <c r="H59" t="str">
        <f>IFERROR(INDEX('Normativa Especies'!$H$2:$H$995,MATCH(TRIM(A59),'Normativa Especies'!$M$2:$M$995,0)),"-")</f>
        <v>-</v>
      </c>
      <c r="I59" t="str">
        <f>IFERROR(INDEX(FAUNA!$D$2:$D$134,MATCH(TRIM(A59),FAUNA!$E$1:E189,0)),"-")</f>
        <v>-</v>
      </c>
    </row>
    <row r="60" spans="1:9" ht="15" customHeight="1" x14ac:dyDescent="0.25">
      <c r="A60" s="127" t="s">
        <v>282</v>
      </c>
      <c r="B60" s="128" t="s">
        <v>544</v>
      </c>
      <c r="C60" s="129" t="s">
        <v>16</v>
      </c>
      <c r="D60" s="129" t="s">
        <v>544</v>
      </c>
      <c r="E60" s="129" t="s">
        <v>544</v>
      </c>
      <c r="F60" s="128" t="s">
        <v>544</v>
      </c>
      <c r="G60" s="4"/>
      <c r="H60" t="str">
        <f>IFERROR(INDEX('Normativa Especies'!$H$2:$H$995,MATCH(TRIM(A60),'Normativa Especies'!$M$2:$M$995,0)),"-")</f>
        <v>-</v>
      </c>
      <c r="I60" t="str">
        <f>IFERROR(INDEX(FAUNA!$D$2:$D$134,MATCH(TRIM(A60),FAUNA!$E$1:E190,0)),"-")</f>
        <v>-</v>
      </c>
    </row>
    <row r="61" spans="1:9" ht="15" customHeight="1" x14ac:dyDescent="0.25">
      <c r="A61" s="127" t="s">
        <v>284</v>
      </c>
      <c r="B61" s="128" t="s">
        <v>544</v>
      </c>
      <c r="C61" s="129" t="s">
        <v>43</v>
      </c>
      <c r="D61" s="129" t="s">
        <v>544</v>
      </c>
      <c r="E61" s="129" t="s">
        <v>544</v>
      </c>
      <c r="F61" s="128" t="s">
        <v>544</v>
      </c>
      <c r="G61" s="5"/>
      <c r="H61" t="str">
        <f>IFERROR(INDEX('Normativa Especies'!$H$2:$H$995,MATCH(TRIM(A61),'Normativa Especies'!$M$2:$M$995,0)),"-")</f>
        <v>-</v>
      </c>
      <c r="I61" t="str">
        <f>IFERROR(INDEX(FAUNA!$D$2:$D$134,MATCH(TRIM(A61),FAUNA!$E$1:E191,0)),"-")</f>
        <v>-</v>
      </c>
    </row>
    <row r="62" spans="1:9" ht="15" customHeight="1" x14ac:dyDescent="0.25">
      <c r="A62" s="127" t="s">
        <v>286</v>
      </c>
      <c r="B62" s="128" t="s">
        <v>544</v>
      </c>
      <c r="C62" s="129" t="s">
        <v>31</v>
      </c>
      <c r="D62" s="129" t="s">
        <v>544</v>
      </c>
      <c r="E62" s="129" t="s">
        <v>544</v>
      </c>
      <c r="F62" s="128" t="s">
        <v>544</v>
      </c>
      <c r="G62" s="6"/>
      <c r="H62" t="str">
        <f>IFERROR(INDEX('Normativa Especies'!$H$2:$H$995,MATCH(TRIM(A62),'Normativa Especies'!$M$2:$M$995,0)),"-")</f>
        <v>-</v>
      </c>
      <c r="I62" t="str">
        <f>IFERROR(INDEX(FAUNA!$D$2:$D$134,MATCH(TRIM(A62),FAUNA!$E$1:E192,0)),"-")</f>
        <v>-</v>
      </c>
    </row>
    <row r="63" spans="1:9" ht="15" customHeight="1" x14ac:dyDescent="0.25">
      <c r="A63" s="130" t="s">
        <v>290</v>
      </c>
      <c r="B63" s="131" t="s">
        <v>619</v>
      </c>
      <c r="C63" s="132" t="s">
        <v>31</v>
      </c>
      <c r="D63" s="132" t="s">
        <v>547</v>
      </c>
      <c r="E63" s="132" t="s">
        <v>544</v>
      </c>
      <c r="F63" s="131" t="s">
        <v>544</v>
      </c>
      <c r="G63" s="5"/>
      <c r="H63" t="str">
        <f>IFERROR(INDEX('Normativa Especies'!$H$2:$H$995,MATCH(TRIM(A63),'Normativa Especies'!$M$2:$M$995,0)),"-")</f>
        <v>LESRPE</v>
      </c>
      <c r="I63" t="str">
        <f>IFERROR(INDEX(FAUNA!$D$2:$D$134,MATCH(TRIM(A63),FAUNA!$E$1:E193,0)),"-")</f>
        <v>-</v>
      </c>
    </row>
    <row r="64" spans="1:9" ht="15" customHeight="1" x14ac:dyDescent="0.25">
      <c r="A64" s="127" t="s">
        <v>291</v>
      </c>
      <c r="B64" s="128" t="s">
        <v>544</v>
      </c>
      <c r="C64" s="129" t="s">
        <v>16</v>
      </c>
      <c r="D64" s="129" t="s">
        <v>544</v>
      </c>
      <c r="E64" s="129" t="s">
        <v>544</v>
      </c>
      <c r="F64" s="128" t="s">
        <v>544</v>
      </c>
      <c r="G64" s="4"/>
      <c r="H64" t="str">
        <f>IFERROR(INDEX('Normativa Especies'!$H$2:$H$995,MATCH(TRIM(A64),'Normativa Especies'!$M$2:$M$995,0)),"-")</f>
        <v>-</v>
      </c>
      <c r="I64" t="str">
        <f>IFERROR(INDEX(FAUNA!$D$2:$D$134,MATCH(TRIM(A64),FAUNA!$E$1:E194,0)),"-")</f>
        <v>-</v>
      </c>
    </row>
    <row r="65" spans="1:9" ht="15" customHeight="1" x14ac:dyDescent="0.25">
      <c r="A65" s="130" t="s">
        <v>295</v>
      </c>
      <c r="B65" s="131" t="s">
        <v>622</v>
      </c>
      <c r="C65" s="132" t="s">
        <v>31</v>
      </c>
      <c r="D65" s="132" t="s">
        <v>547</v>
      </c>
      <c r="E65" s="132" t="s">
        <v>544</v>
      </c>
      <c r="F65" s="131" t="s">
        <v>544</v>
      </c>
      <c r="G65" s="5"/>
      <c r="H65" t="str">
        <f>IFERROR(INDEX('Normativa Especies'!$H$2:$H$995,MATCH(TRIM(A65),'Normativa Especies'!$M$2:$M$995,0)),"-")</f>
        <v>LESRPE</v>
      </c>
      <c r="I65" t="str">
        <f>IFERROR(INDEX(FAUNA!$D$2:$D$134,MATCH(TRIM(A65),FAUNA!$E$1:E195,0)),"-")</f>
        <v>-</v>
      </c>
    </row>
    <row r="66" spans="1:9" ht="15" customHeight="1" x14ac:dyDescent="0.25">
      <c r="A66" s="127" t="s">
        <v>298</v>
      </c>
      <c r="B66" s="128" t="s">
        <v>544</v>
      </c>
      <c r="C66" s="129" t="s">
        <v>31</v>
      </c>
      <c r="D66" s="129" t="s">
        <v>544</v>
      </c>
      <c r="E66" s="129" t="s">
        <v>544</v>
      </c>
      <c r="F66" s="128" t="s">
        <v>544</v>
      </c>
      <c r="G66" s="5"/>
      <c r="H66" t="str">
        <f>IFERROR(INDEX('Normativa Especies'!$H$2:$H$995,MATCH(TRIM(A66),'Normativa Especies'!$M$2:$M$995,0)),"-")</f>
        <v>-</v>
      </c>
      <c r="I66" t="str">
        <f>IFERROR(INDEX(FAUNA!$D$2:$D$134,MATCH(TRIM(A66),FAUNA!$E$1:E196,0)),"-")</f>
        <v>-</v>
      </c>
    </row>
    <row r="67" spans="1:9" ht="15" customHeight="1" x14ac:dyDescent="0.25">
      <c r="A67" s="127" t="s">
        <v>300</v>
      </c>
      <c r="B67" s="128" t="s">
        <v>544</v>
      </c>
      <c r="C67" s="129" t="s">
        <v>43</v>
      </c>
      <c r="D67" s="129" t="s">
        <v>544</v>
      </c>
      <c r="E67" s="129" t="s">
        <v>544</v>
      </c>
      <c r="F67" s="128" t="s">
        <v>544</v>
      </c>
      <c r="G67" s="5"/>
      <c r="H67" t="str">
        <f>IFERROR(INDEX('Normativa Especies'!$H$2:$H$995,MATCH(TRIM(A67),'Normativa Especies'!$M$2:$M$995,0)),"-")</f>
        <v>-</v>
      </c>
      <c r="I67" t="str">
        <f>IFERROR(INDEX(FAUNA!$D$2:$D$134,MATCH(TRIM(A67),FAUNA!$E$1:E197,0)),"-")</f>
        <v>-</v>
      </c>
    </row>
    <row r="68" spans="1:9" ht="15" customHeight="1" x14ac:dyDescent="0.25">
      <c r="A68" s="130" t="s">
        <v>303</v>
      </c>
      <c r="B68" s="131" t="s">
        <v>979</v>
      </c>
      <c r="C68" s="132" t="s">
        <v>31</v>
      </c>
      <c r="D68" s="132" t="s">
        <v>547</v>
      </c>
      <c r="E68" s="132" t="s">
        <v>544</v>
      </c>
      <c r="F68" s="131" t="s">
        <v>544</v>
      </c>
      <c r="G68" s="4"/>
      <c r="H68" t="str">
        <f>IFERROR(INDEX('Normativa Especies'!$H$2:$H$995,MATCH(TRIM(A68),'Normativa Especies'!$M$2:$M$995,0)),"-")</f>
        <v>LESRPE</v>
      </c>
      <c r="I68" t="str">
        <f>IFERROR(INDEX(FAUNA!$D$2:$D$134,MATCH(TRIM(A68),FAUNA!$E$1:E198,0)),"-")</f>
        <v>-</v>
      </c>
    </row>
    <row r="69" spans="1:9" ht="15" customHeight="1" x14ac:dyDescent="0.25">
      <c r="A69" s="127" t="s">
        <v>307</v>
      </c>
      <c r="B69" s="128" t="s">
        <v>544</v>
      </c>
      <c r="C69" s="129" t="s">
        <v>31</v>
      </c>
      <c r="D69" s="129" t="s">
        <v>544</v>
      </c>
      <c r="E69" s="129" t="s">
        <v>544</v>
      </c>
      <c r="F69" s="128" t="s">
        <v>544</v>
      </c>
      <c r="G69" s="5"/>
      <c r="H69" t="str">
        <f>IFERROR(INDEX('Normativa Especies'!$H$2:$H$995,MATCH(TRIM(A69),'Normativa Especies'!$M$2:$M$995,0)),"-")</f>
        <v>-</v>
      </c>
      <c r="I69" t="str">
        <f>IFERROR(INDEX(FAUNA!$D$2:$D$134,MATCH(TRIM(A69),FAUNA!$E$1:E199,0)),"-")</f>
        <v>-</v>
      </c>
    </row>
    <row r="70" spans="1:9" ht="15" customHeight="1" x14ac:dyDescent="0.25">
      <c r="A70" s="130" t="s">
        <v>309</v>
      </c>
      <c r="B70" s="131" t="s">
        <v>627</v>
      </c>
      <c r="C70" s="132" t="s">
        <v>31</v>
      </c>
      <c r="D70" s="132" t="s">
        <v>547</v>
      </c>
      <c r="E70" s="132" t="s">
        <v>544</v>
      </c>
      <c r="F70" s="131" t="s">
        <v>544</v>
      </c>
      <c r="G70" s="4"/>
      <c r="H70" t="str">
        <f>IFERROR(INDEX('Normativa Especies'!$H$2:$H$995,MATCH(TRIM(A70),'Normativa Especies'!$M$2:$M$995,0)),"-")</f>
        <v>LESRPE</v>
      </c>
      <c r="I70" t="str">
        <f>IFERROR(INDEX(FAUNA!$D$2:$D$134,MATCH(TRIM(A70),FAUNA!$E$1:E200,0)),"-")</f>
        <v>-</v>
      </c>
    </row>
    <row r="71" spans="1:9" ht="15" customHeight="1" x14ac:dyDescent="0.25">
      <c r="A71" s="130" t="s">
        <v>314</v>
      </c>
      <c r="B71" s="131" t="s">
        <v>972</v>
      </c>
      <c r="C71" s="132" t="s">
        <v>31</v>
      </c>
      <c r="D71" s="132" t="s">
        <v>547</v>
      </c>
      <c r="E71" s="132" t="s">
        <v>544</v>
      </c>
      <c r="F71" s="131" t="s">
        <v>544</v>
      </c>
      <c r="G71" s="5"/>
      <c r="H71" t="str">
        <f>IFERROR(INDEX('Normativa Especies'!$H$2:$H$995,MATCH(TRIM(A71),'Normativa Especies'!$M$2:$M$995,0)),"-")</f>
        <v>LESRPE</v>
      </c>
      <c r="I71" t="str">
        <f>IFERROR(INDEX(FAUNA!$D$2:$D$134,MATCH(TRIM(A71),FAUNA!$E$1:E201,0)),"-")</f>
        <v>-</v>
      </c>
    </row>
    <row r="72" spans="1:9" ht="15" customHeight="1" x14ac:dyDescent="0.25">
      <c r="A72" s="127" t="s">
        <v>316</v>
      </c>
      <c r="B72" s="128" t="s">
        <v>544</v>
      </c>
      <c r="C72" s="129" t="s">
        <v>43</v>
      </c>
      <c r="D72" s="129" t="s">
        <v>544</v>
      </c>
      <c r="E72" s="129" t="s">
        <v>544</v>
      </c>
      <c r="F72" s="128" t="s">
        <v>544</v>
      </c>
      <c r="G72" s="4"/>
      <c r="H72" t="str">
        <f>IFERROR(INDEX('Normativa Especies'!$H$2:$H$995,MATCH(TRIM(A72),'Normativa Especies'!$M$2:$M$995,0)),"-")</f>
        <v>-</v>
      </c>
      <c r="I72" t="str">
        <f>IFERROR(INDEX(FAUNA!$D$2:$D$134,MATCH(TRIM(A72),FAUNA!$E$1:E202,0)),"-")</f>
        <v>-</v>
      </c>
    </row>
    <row r="73" spans="1:9" ht="15" customHeight="1" x14ac:dyDescent="0.25">
      <c r="A73" s="130" t="s">
        <v>321</v>
      </c>
      <c r="B73" s="131" t="s">
        <v>544</v>
      </c>
      <c r="C73" s="132" t="s">
        <v>31</v>
      </c>
      <c r="D73" s="132" t="s">
        <v>547</v>
      </c>
      <c r="E73" s="132" t="s">
        <v>3833</v>
      </c>
      <c r="F73" s="131" t="s">
        <v>3814</v>
      </c>
      <c r="G73" s="4"/>
      <c r="H73" t="str">
        <f>IFERROR(INDEX('Normativa Especies'!$H$2:$H$995,MATCH(TRIM(A73),'Normativa Especies'!$M$2:$M$995,0)),"-")</f>
        <v>-</v>
      </c>
      <c r="I73" t="str">
        <f>IFERROR(INDEX(FAUNA!$D$2:$D$134,MATCH(TRIM(A73),FAUNA!$E$1:E203,0)),"-")</f>
        <v>De interés especial</v>
      </c>
    </row>
    <row r="74" spans="1:9" ht="15" customHeight="1" x14ac:dyDescent="0.25">
      <c r="A74" s="130" t="s">
        <v>326</v>
      </c>
      <c r="B74" s="131" t="s">
        <v>714</v>
      </c>
      <c r="C74" s="132" t="s">
        <v>95</v>
      </c>
      <c r="D74" s="132" t="s">
        <v>547</v>
      </c>
      <c r="E74" s="132" t="s">
        <v>544</v>
      </c>
      <c r="F74" s="131" t="s">
        <v>544</v>
      </c>
      <c r="G74" s="5"/>
      <c r="H74" t="str">
        <f>IFERROR(INDEX('Normativa Especies'!$H$2:$H$995,MATCH(TRIM(A74),'Normativa Especies'!$M$2:$M$995,0)),"-")</f>
        <v>LESRPE</v>
      </c>
      <c r="I74" t="str">
        <f>IFERROR(INDEX(FAUNA!$D$2:$D$134,MATCH(TRIM(A74),FAUNA!$E$1:E204,0)),"-")</f>
        <v>-</v>
      </c>
    </row>
    <row r="75" spans="1:9" ht="15" customHeight="1" x14ac:dyDescent="0.25">
      <c r="A75" s="130" t="s">
        <v>331</v>
      </c>
      <c r="B75" s="131" t="s">
        <v>635</v>
      </c>
      <c r="C75" s="132" t="s">
        <v>31</v>
      </c>
      <c r="D75" s="132" t="s">
        <v>547</v>
      </c>
      <c r="E75" s="132" t="s">
        <v>544</v>
      </c>
      <c r="F75" s="131" t="s">
        <v>544</v>
      </c>
      <c r="G75" s="4"/>
      <c r="H75" t="str">
        <f>IFERROR(INDEX('Normativa Especies'!$H$2:$H$995,MATCH(TRIM(A75),'Normativa Especies'!$M$2:$M$995,0)),"-")</f>
        <v>LESRPE</v>
      </c>
      <c r="I75" t="str">
        <f>IFERROR(INDEX(FAUNA!$D$2:$D$134,MATCH(TRIM(A75),FAUNA!$E$1:E205,0)),"-")</f>
        <v>-</v>
      </c>
    </row>
    <row r="76" spans="1:9" ht="15" customHeight="1" x14ac:dyDescent="0.25">
      <c r="A76" s="127" t="s">
        <v>336</v>
      </c>
      <c r="B76" s="128" t="s">
        <v>544</v>
      </c>
      <c r="C76" s="129" t="s">
        <v>31</v>
      </c>
      <c r="D76" s="129" t="s">
        <v>544</v>
      </c>
      <c r="E76" s="129" t="s">
        <v>544</v>
      </c>
      <c r="F76" s="128" t="s">
        <v>544</v>
      </c>
      <c r="G76" s="5"/>
      <c r="H76" t="str">
        <f>IFERROR(INDEX('Normativa Especies'!$H$2:$H$995,MATCH(TRIM(A76),'Normativa Especies'!$M$2:$M$995,0)),"-")</f>
        <v>-</v>
      </c>
      <c r="I76" t="str">
        <f>IFERROR(INDEX(FAUNA!$D$2:$D$134,MATCH(TRIM(A76),FAUNA!$E$1:E206,0)),"-")</f>
        <v>-</v>
      </c>
    </row>
    <row r="77" spans="1:9" ht="15" customHeight="1" x14ac:dyDescent="0.25">
      <c r="A77" s="127" t="s">
        <v>339</v>
      </c>
      <c r="B77" s="128" t="s">
        <v>544</v>
      </c>
      <c r="C77" s="129" t="s">
        <v>71</v>
      </c>
      <c r="D77" s="129" t="s">
        <v>544</v>
      </c>
      <c r="E77" s="129" t="s">
        <v>544</v>
      </c>
      <c r="F77" s="128" t="s">
        <v>544</v>
      </c>
      <c r="G77" s="4"/>
      <c r="H77" t="str">
        <f>IFERROR(INDEX('Normativa Especies'!$H$2:$H$995,MATCH(TRIM(A77),'Normativa Especies'!$M$2:$M$995,0)),"-")</f>
        <v>-</v>
      </c>
      <c r="I77" t="str">
        <f>IFERROR(INDEX(FAUNA!$D$2:$D$134,MATCH(TRIM(A77),FAUNA!$E$1:E207,0)),"-")</f>
        <v>-</v>
      </c>
    </row>
    <row r="78" spans="1:9" ht="15" customHeight="1" x14ac:dyDescent="0.25">
      <c r="A78" s="127" t="s">
        <v>343</v>
      </c>
      <c r="B78" s="128" t="s">
        <v>544</v>
      </c>
      <c r="C78" s="129" t="s">
        <v>16</v>
      </c>
      <c r="D78" s="129" t="s">
        <v>544</v>
      </c>
      <c r="E78" s="129" t="s">
        <v>544</v>
      </c>
      <c r="F78" s="128" t="s">
        <v>544</v>
      </c>
      <c r="G78" s="5"/>
      <c r="H78" t="str">
        <f>IFERROR(INDEX('Normativa Especies'!$H$2:$H$995,MATCH(TRIM(A78),'Normativa Especies'!$M$2:$M$995,0)),"-")</f>
        <v>-</v>
      </c>
      <c r="I78" t="str">
        <f>IFERROR(INDEX(FAUNA!$D$2:$D$134,MATCH(TRIM(A78),FAUNA!$E$1:E208,0)),"-")</f>
        <v>-</v>
      </c>
    </row>
    <row r="79" spans="1:9" ht="15" customHeight="1" x14ac:dyDescent="0.25">
      <c r="A79" s="130" t="s">
        <v>345</v>
      </c>
      <c r="B79" s="131" t="s">
        <v>544</v>
      </c>
      <c r="C79" s="132" t="s">
        <v>31</v>
      </c>
      <c r="D79" s="132" t="s">
        <v>547</v>
      </c>
      <c r="E79" s="132" t="s">
        <v>3833</v>
      </c>
      <c r="F79" s="131" t="s">
        <v>3814</v>
      </c>
      <c r="G79" s="5"/>
      <c r="H79" t="str">
        <f>IFERROR(INDEX('Normativa Especies'!$H$2:$H$995,MATCH(TRIM(A79),'Normativa Especies'!$M$2:$M$995,0)),"-")</f>
        <v>LESRPE</v>
      </c>
      <c r="I79" t="str">
        <f>IFERROR(INDEX(FAUNA!$D$2:$D$134,MATCH(TRIM(A79),FAUNA!$E$1:E209,0)),"-")</f>
        <v>De interés especial</v>
      </c>
    </row>
    <row r="80" spans="1:9" ht="15" customHeight="1" x14ac:dyDescent="0.25">
      <c r="A80" s="130" t="s">
        <v>349</v>
      </c>
      <c r="B80" s="131" t="s">
        <v>928</v>
      </c>
      <c r="C80" s="132" t="s">
        <v>31</v>
      </c>
      <c r="D80" s="132" t="s">
        <v>547</v>
      </c>
      <c r="E80" s="132" t="s">
        <v>544</v>
      </c>
      <c r="F80" s="131" t="s">
        <v>544</v>
      </c>
      <c r="G80" s="4"/>
      <c r="H80" t="str">
        <f>IFERROR(INDEX('Normativa Especies'!$H$2:$H$995,MATCH(TRIM(A80),'Normativa Especies'!$M$2:$M$995,0)),"-")</f>
        <v>LESRPE</v>
      </c>
      <c r="I80" t="str">
        <f>IFERROR(INDEX(FAUNA!$D$2:$D$134,MATCH(TRIM(A80),FAUNA!$E$1:E210,0)),"-")</f>
        <v>-</v>
      </c>
    </row>
    <row r="81" spans="1:9" ht="15" customHeight="1" x14ac:dyDescent="0.25">
      <c r="A81" s="127" t="s">
        <v>354</v>
      </c>
      <c r="B81" s="128" t="s">
        <v>544</v>
      </c>
      <c r="C81" s="129" t="s">
        <v>71</v>
      </c>
      <c r="D81" s="129" t="s">
        <v>544</v>
      </c>
      <c r="E81" s="129" t="s">
        <v>544</v>
      </c>
      <c r="F81" s="128" t="s">
        <v>544</v>
      </c>
      <c r="G81" s="4"/>
      <c r="H81" t="str">
        <f>IFERROR(INDEX('Normativa Especies'!$H$2:$H$995,MATCH(TRIM(A81),'Normativa Especies'!$M$2:$M$995,0)),"-")</f>
        <v>-</v>
      </c>
      <c r="I81" t="str">
        <f>IFERROR(INDEX(FAUNA!$D$2:$D$134,MATCH(TRIM(A81),FAUNA!$E$1:E211,0)),"-")</f>
        <v>-</v>
      </c>
    </row>
    <row r="82" spans="1:9" ht="15" customHeight="1" x14ac:dyDescent="0.25">
      <c r="A82" s="127" t="s">
        <v>361</v>
      </c>
      <c r="B82" s="128" t="s">
        <v>544</v>
      </c>
      <c r="C82" s="129" t="s">
        <v>31</v>
      </c>
      <c r="D82" s="129" t="s">
        <v>544</v>
      </c>
      <c r="E82" s="129" t="s">
        <v>544</v>
      </c>
      <c r="F82" s="128" t="s">
        <v>544</v>
      </c>
      <c r="G82" s="4"/>
      <c r="H82" t="str">
        <f>IFERROR(INDEX('Normativa Especies'!$H$2:$H$995,MATCH(TRIM(A82),'Normativa Especies'!$M$2:$M$995,0)),"-")</f>
        <v>-</v>
      </c>
      <c r="I82" t="str">
        <f>IFERROR(INDEX(FAUNA!$D$2:$D$134,MATCH(TRIM(A82),FAUNA!$E$1:E212,0)),"-")</f>
        <v>-</v>
      </c>
    </row>
    <row r="83" spans="1:9" ht="15" customHeight="1" x14ac:dyDescent="0.25">
      <c r="A83" s="127" t="s">
        <v>363</v>
      </c>
      <c r="B83" s="128" t="s">
        <v>544</v>
      </c>
      <c r="C83" s="129" t="s">
        <v>43</v>
      </c>
      <c r="D83" s="129" t="s">
        <v>544</v>
      </c>
      <c r="E83" s="129" t="s">
        <v>544</v>
      </c>
      <c r="F83" s="128" t="s">
        <v>544</v>
      </c>
      <c r="G83" s="5"/>
      <c r="H83" t="str">
        <f>IFERROR(INDEX('Normativa Especies'!$H$2:$H$995,MATCH(TRIM(A83),'Normativa Especies'!$M$2:$M$995,0)),"-")</f>
        <v>-</v>
      </c>
      <c r="I83" t="str">
        <f>IFERROR(INDEX(FAUNA!$D$2:$D$134,MATCH(TRIM(A83),FAUNA!$E$1:E213,0)),"-")</f>
        <v>-</v>
      </c>
    </row>
    <row r="84" spans="1:9" ht="15" customHeight="1" x14ac:dyDescent="0.25">
      <c r="A84" s="127" t="s">
        <v>365</v>
      </c>
      <c r="B84" s="128" t="s">
        <v>544</v>
      </c>
      <c r="C84" s="129" t="s">
        <v>16</v>
      </c>
      <c r="D84" s="129" t="s">
        <v>544</v>
      </c>
      <c r="E84" s="129" t="s">
        <v>544</v>
      </c>
      <c r="F84" s="128" t="s">
        <v>544</v>
      </c>
      <c r="G84" s="5"/>
      <c r="H84" t="str">
        <f>IFERROR(INDEX('Normativa Especies'!$H$2:$H$995,MATCH(TRIM(A84),'Normativa Especies'!$M$2:$M$995,0)),"-")</f>
        <v>-</v>
      </c>
      <c r="I84" t="str">
        <f>IFERROR(INDEX(FAUNA!$D$2:$D$134,MATCH(TRIM(A84),FAUNA!$E$1:E214,0)),"-")</f>
        <v>-</v>
      </c>
    </row>
    <row r="85" spans="1:9" ht="15" customHeight="1" x14ac:dyDescent="0.25">
      <c r="A85" s="127" t="s">
        <v>368</v>
      </c>
      <c r="B85" s="128" t="s">
        <v>544</v>
      </c>
      <c r="C85" s="129" t="s">
        <v>31</v>
      </c>
      <c r="D85" s="129" t="s">
        <v>544</v>
      </c>
      <c r="E85" s="129" t="s">
        <v>544</v>
      </c>
      <c r="F85" s="128" t="s">
        <v>544</v>
      </c>
      <c r="G85" s="4"/>
      <c r="H85" t="str">
        <f>IFERROR(INDEX('Normativa Especies'!$H$2:$H$995,MATCH(TRIM(A85),'Normativa Especies'!$M$2:$M$995,0)),"-")</f>
        <v>-</v>
      </c>
      <c r="I85" t="str">
        <f>IFERROR(INDEX(FAUNA!$D$2:$D$134,MATCH(TRIM(A85),FAUNA!$E$1:E215,0)),"-")</f>
        <v>-</v>
      </c>
    </row>
    <row r="86" spans="1:9" ht="15" customHeight="1" x14ac:dyDescent="0.25">
      <c r="A86" s="130" t="s">
        <v>370</v>
      </c>
      <c r="B86" s="131" t="s">
        <v>642</v>
      </c>
      <c r="C86" s="132" t="s">
        <v>31</v>
      </c>
      <c r="D86" s="132" t="s">
        <v>547</v>
      </c>
      <c r="E86" s="132" t="s">
        <v>544</v>
      </c>
      <c r="F86" s="131" t="s">
        <v>544</v>
      </c>
      <c r="G86" s="5"/>
      <c r="H86" t="str">
        <f>IFERROR(INDEX('Normativa Especies'!$H$2:$H$995,MATCH(TRIM(A86),'Normativa Especies'!$M$2:$M$995,0)),"-")</f>
        <v>LESRPE</v>
      </c>
      <c r="I86" t="str">
        <f>IFERROR(INDEX(FAUNA!$D$2:$D$134,MATCH(TRIM(A86),FAUNA!$E$1:E216,0)),"-")</f>
        <v>-</v>
      </c>
    </row>
    <row r="87" spans="1:9" ht="15" customHeight="1" x14ac:dyDescent="0.25">
      <c r="A87" s="127" t="s">
        <v>374</v>
      </c>
      <c r="B87" s="128" t="s">
        <v>544</v>
      </c>
      <c r="C87" s="129" t="s">
        <v>95</v>
      </c>
      <c r="D87" s="129" t="s">
        <v>544</v>
      </c>
      <c r="E87" s="129" t="s">
        <v>544</v>
      </c>
      <c r="F87" s="128" t="s">
        <v>544</v>
      </c>
      <c r="G87" s="5"/>
      <c r="H87" t="str">
        <f>IFERROR(INDEX('Normativa Especies'!$H$2:$H$995,MATCH(TRIM(A87),'Normativa Especies'!$M$2:$M$995,0)),"-")</f>
        <v>-</v>
      </c>
      <c r="I87" t="str">
        <f>IFERROR(INDEX(FAUNA!$D$2:$D$134,MATCH(TRIM(A87),FAUNA!$E$1:E217,0)),"-")</f>
        <v>-</v>
      </c>
    </row>
    <row r="88" spans="1:9" ht="15" customHeight="1" x14ac:dyDescent="0.25">
      <c r="A88" s="130" t="s">
        <v>377</v>
      </c>
      <c r="B88" s="131" t="s">
        <v>643</v>
      </c>
      <c r="C88" s="132" t="s">
        <v>71</v>
      </c>
      <c r="D88" s="132" t="s">
        <v>547</v>
      </c>
      <c r="E88" s="132" t="s">
        <v>544</v>
      </c>
      <c r="F88" s="131" t="s">
        <v>544</v>
      </c>
      <c r="G88" s="5"/>
      <c r="H88" t="str">
        <f>IFERROR(INDEX('Normativa Especies'!$H$2:$H$995,MATCH(TRIM(A88),'Normativa Especies'!$M$2:$M$995,0)),"-")</f>
        <v>LESRPE</v>
      </c>
      <c r="I88" t="str">
        <f>IFERROR(INDEX(FAUNA!$D$2:$D$134,MATCH(TRIM(A88),FAUNA!$E$1:E218,0)),"-")</f>
        <v>-</v>
      </c>
    </row>
    <row r="89" spans="1:9" ht="15" customHeight="1" x14ac:dyDescent="0.25">
      <c r="A89" s="133" t="s">
        <v>382</v>
      </c>
      <c r="B89" s="134" t="s">
        <v>544</v>
      </c>
      <c r="C89" s="135" t="s">
        <v>31</v>
      </c>
      <c r="D89" s="135" t="s">
        <v>547</v>
      </c>
      <c r="E89" s="135" t="s">
        <v>3834</v>
      </c>
      <c r="F89" s="134" t="s">
        <v>3814</v>
      </c>
      <c r="G89" s="5"/>
      <c r="H89" t="str">
        <f>IFERROR(INDEX('Normativa Especies'!$H$2:$H$995,MATCH(TRIM(A89),'Normativa Especies'!$M$2:$M$995,0)),"-")</f>
        <v>LESRPE</v>
      </c>
      <c r="I89" t="str">
        <f>IFERROR(INDEX(FAUNA!$D$2:$D$134,MATCH(TRIM(A89),FAUNA!$E$1:E219,0)),"-")</f>
        <v>Vulnerables</v>
      </c>
    </row>
    <row r="90" spans="1:9" ht="15" customHeight="1" x14ac:dyDescent="0.25">
      <c r="A90" s="130" t="s">
        <v>385</v>
      </c>
      <c r="B90" s="131" t="s">
        <v>645</v>
      </c>
      <c r="C90" s="132" t="s">
        <v>31</v>
      </c>
      <c r="D90" s="132" t="s">
        <v>547</v>
      </c>
      <c r="E90" s="132" t="s">
        <v>544</v>
      </c>
      <c r="F90" s="131" t="s">
        <v>544</v>
      </c>
      <c r="G90" s="5"/>
      <c r="H90" t="str">
        <f>IFERROR(INDEX('Normativa Especies'!$H$2:$H$995,MATCH(TRIM(A90),'Normativa Especies'!$M$2:$M$995,0)),"-")</f>
        <v>LESRPE</v>
      </c>
      <c r="I90" t="str">
        <f>IFERROR(INDEX(FAUNA!$D$2:$D$134,MATCH(TRIM(A90),FAUNA!$E$1:E220,0)),"-")</f>
        <v>-</v>
      </c>
    </row>
    <row r="91" spans="1:9" ht="15" customHeight="1" x14ac:dyDescent="0.25">
      <c r="A91" s="130" t="s">
        <v>388</v>
      </c>
      <c r="B91" s="131" t="s">
        <v>999</v>
      </c>
      <c r="C91" s="132" t="s">
        <v>31</v>
      </c>
      <c r="D91" s="132" t="s">
        <v>547</v>
      </c>
      <c r="E91" s="132" t="s">
        <v>544</v>
      </c>
      <c r="F91" s="131" t="s">
        <v>544</v>
      </c>
      <c r="G91" s="5"/>
      <c r="H91" t="str">
        <f>IFERROR(INDEX('Normativa Especies'!$H$2:$H$995,MATCH(TRIM(A91),'Normativa Especies'!$M$2:$M$995,0)),"-")</f>
        <v>LESRPE</v>
      </c>
      <c r="I91" t="str">
        <f>IFERROR(INDEX(FAUNA!$D$2:$D$134,MATCH(TRIM(A91),FAUNA!$E$1:E221,0)),"-")</f>
        <v>-</v>
      </c>
    </row>
    <row r="92" spans="1:9" ht="15" customHeight="1" x14ac:dyDescent="0.25">
      <c r="A92" s="133" t="s">
        <v>390</v>
      </c>
      <c r="B92" s="134" t="s">
        <v>544</v>
      </c>
      <c r="C92" s="135" t="s">
        <v>31</v>
      </c>
      <c r="D92" s="135" t="s">
        <v>547</v>
      </c>
      <c r="E92" s="135" t="s">
        <v>3834</v>
      </c>
      <c r="F92" s="134" t="s">
        <v>3814</v>
      </c>
      <c r="G92" s="6"/>
      <c r="H92" t="str">
        <f>IFERROR(INDEX('Normativa Especies'!$H$2:$H$995,MATCH(TRIM(A92),'Normativa Especies'!$M$2:$M$995,0)),"-")</f>
        <v>LESRPE</v>
      </c>
      <c r="I92" t="str">
        <f>IFERROR(INDEX(FAUNA!$D$2:$D$134,MATCH(TRIM(A92),FAUNA!$E$1:E222,0)),"-")</f>
        <v>Vulnerables</v>
      </c>
    </row>
    <row r="93" spans="1:9" ht="15" customHeight="1" x14ac:dyDescent="0.25">
      <c r="A93" s="130" t="s">
        <v>395</v>
      </c>
      <c r="B93" s="131" t="s">
        <v>646</v>
      </c>
      <c r="C93" s="132" t="s">
        <v>31</v>
      </c>
      <c r="D93" s="132" t="s">
        <v>547</v>
      </c>
      <c r="E93" s="132" t="s">
        <v>544</v>
      </c>
      <c r="F93" s="131" t="s">
        <v>544</v>
      </c>
      <c r="G93" s="4"/>
      <c r="H93" t="str">
        <f>IFERROR(INDEX('Normativa Especies'!$H$2:$H$995,MATCH(TRIM(A93),'Normativa Especies'!$M$2:$M$995,0)),"-")</f>
        <v>LESRPE</v>
      </c>
      <c r="I93" t="str">
        <f>IFERROR(INDEX(FAUNA!$D$2:$D$134,MATCH(TRIM(A93),FAUNA!$E$1:E223,0)),"-")</f>
        <v>De interés especial</v>
      </c>
    </row>
    <row r="94" spans="1:9" ht="15" customHeight="1" x14ac:dyDescent="0.25">
      <c r="A94" s="127" t="s">
        <v>398</v>
      </c>
      <c r="B94" s="128" t="s">
        <v>544</v>
      </c>
      <c r="C94" s="129" t="s">
        <v>16</v>
      </c>
      <c r="D94" s="129" t="s">
        <v>544</v>
      </c>
      <c r="E94" s="129" t="s">
        <v>544</v>
      </c>
      <c r="F94" s="128" t="s">
        <v>544</v>
      </c>
      <c r="G94" s="4"/>
      <c r="H94" t="str">
        <f>IFERROR(INDEX('Normativa Especies'!$H$2:$H$995,MATCH(TRIM(A94),'Normativa Especies'!$M$2:$M$995,0)),"-")</f>
        <v>-</v>
      </c>
      <c r="I94" t="str">
        <f>IFERROR(INDEX(FAUNA!$D$2:$D$134,MATCH(TRIM(A94),FAUNA!$E$1:E224,0)),"-")</f>
        <v>-</v>
      </c>
    </row>
    <row r="95" spans="1:9" ht="15" customHeight="1" x14ac:dyDescent="0.25">
      <c r="A95" s="130" t="s">
        <v>402</v>
      </c>
      <c r="B95" s="131" t="s">
        <v>649</v>
      </c>
      <c r="C95" s="132" t="s">
        <v>31</v>
      </c>
      <c r="D95" s="132" t="s">
        <v>547</v>
      </c>
      <c r="E95" s="132" t="s">
        <v>544</v>
      </c>
      <c r="F95" s="131" t="s">
        <v>544</v>
      </c>
      <c r="G95" s="4"/>
      <c r="H95" t="str">
        <f>IFERROR(INDEX('Normativa Especies'!$H$2:$H$995,MATCH(TRIM(A95),'Normativa Especies'!$M$2:$M$995,0)),"-")</f>
        <v>LESRPE</v>
      </c>
      <c r="I95" t="str">
        <f>IFERROR(INDEX(FAUNA!$D$2:$D$134,MATCH(TRIM(A95),FAUNA!$E$1:E225,0)),"-")</f>
        <v>-</v>
      </c>
    </row>
    <row r="96" spans="1:9" ht="15" customHeight="1" x14ac:dyDescent="0.25">
      <c r="A96" s="127" t="s">
        <v>405</v>
      </c>
      <c r="B96" s="128" t="s">
        <v>544</v>
      </c>
      <c r="C96" s="129" t="s">
        <v>31</v>
      </c>
      <c r="D96" s="129" t="s">
        <v>544</v>
      </c>
      <c r="E96" s="129" t="s">
        <v>544</v>
      </c>
      <c r="F96" s="128" t="s">
        <v>544</v>
      </c>
      <c r="G96" s="4"/>
      <c r="H96" t="str">
        <f>IFERROR(INDEX('Normativa Especies'!$H$2:$H$995,MATCH(TRIM(A96),'Normativa Especies'!$M$2:$M$995,0)),"-")</f>
        <v>-</v>
      </c>
      <c r="I96" t="str">
        <f>IFERROR(INDEX(FAUNA!$D$2:$D$134,MATCH(TRIM(A96),FAUNA!$E$1:E226,0)),"-")</f>
        <v>-</v>
      </c>
    </row>
    <row r="97" spans="1:9" ht="15" customHeight="1" x14ac:dyDescent="0.25">
      <c r="A97" s="130" t="s">
        <v>409</v>
      </c>
      <c r="B97" s="131" t="s">
        <v>1165</v>
      </c>
      <c r="C97" s="132" t="s">
        <v>71</v>
      </c>
      <c r="D97" s="132" t="s">
        <v>547</v>
      </c>
      <c r="E97" s="132" t="s">
        <v>544</v>
      </c>
      <c r="F97" s="131" t="s">
        <v>544</v>
      </c>
      <c r="G97" s="4"/>
      <c r="H97" t="str">
        <f>IFERROR(INDEX('Normativa Especies'!$H$2:$H$995,MATCH(TRIM(A97),'Normativa Especies'!$M$2:$M$995,0)),"-")</f>
        <v>LESRPE</v>
      </c>
      <c r="I97" t="str">
        <f>IFERROR(INDEX(FAUNA!$D$2:$D$134,MATCH(TRIM(A97),FAUNA!$E$1:E227,0)),"-")</f>
        <v>-</v>
      </c>
    </row>
    <row r="98" spans="1:9" ht="15" customHeight="1" x14ac:dyDescent="0.25">
      <c r="A98" s="130" t="s">
        <v>413</v>
      </c>
      <c r="B98" s="131" t="s">
        <v>932</v>
      </c>
      <c r="C98" s="132" t="s">
        <v>31</v>
      </c>
      <c r="D98" s="132" t="s">
        <v>547</v>
      </c>
      <c r="E98" s="132" t="s">
        <v>544</v>
      </c>
      <c r="F98" s="131" t="s">
        <v>544</v>
      </c>
      <c r="G98" s="5"/>
      <c r="H98" t="str">
        <f>IFERROR(INDEX('Normativa Especies'!$H$2:$H$995,MATCH(TRIM(A98),'Normativa Especies'!$M$2:$M$995,0)),"-")</f>
        <v>LESRPE</v>
      </c>
      <c r="I98" t="str">
        <f>IFERROR(INDEX(FAUNA!$D$2:$D$134,MATCH(TRIM(A98),FAUNA!$E$1:E228,0)),"-")</f>
        <v>-</v>
      </c>
    </row>
    <row r="99" spans="1:9" ht="15" customHeight="1" x14ac:dyDescent="0.25">
      <c r="A99" s="130" t="s">
        <v>416</v>
      </c>
      <c r="B99" s="131" t="s">
        <v>656</v>
      </c>
      <c r="C99" s="132" t="s">
        <v>31</v>
      </c>
      <c r="D99" s="132" t="s">
        <v>547</v>
      </c>
      <c r="E99" s="132" t="s">
        <v>544</v>
      </c>
      <c r="F99" s="131" t="s">
        <v>544</v>
      </c>
      <c r="G99" s="4"/>
      <c r="H99" t="str">
        <f>IFERROR(INDEX('Normativa Especies'!$H$2:$H$995,MATCH(TRIM(A99),'Normativa Especies'!$M$2:$M$995,0)),"-")</f>
        <v>LESRPE</v>
      </c>
      <c r="I99" t="str">
        <f>IFERROR(INDEX(FAUNA!$D$2:$D$134,MATCH(TRIM(A99),FAUNA!$E$1:E229,0)),"-")</f>
        <v>-</v>
      </c>
    </row>
    <row r="100" spans="1:9" ht="15" customHeight="1" x14ac:dyDescent="0.25">
      <c r="A100" s="127" t="s">
        <v>421</v>
      </c>
      <c r="B100" s="128" t="s">
        <v>544</v>
      </c>
      <c r="C100" s="129" t="s">
        <v>31</v>
      </c>
      <c r="D100" s="129" t="s">
        <v>544</v>
      </c>
      <c r="E100" s="129" t="s">
        <v>544</v>
      </c>
      <c r="F100" s="128" t="s">
        <v>544</v>
      </c>
      <c r="G100" s="5"/>
      <c r="H100" t="str">
        <f>IFERROR(INDEX('Normativa Especies'!$H$2:$H$995,MATCH(TRIM(A100),'Normativa Especies'!$M$2:$M$995,0)),"-")</f>
        <v>-</v>
      </c>
      <c r="I100" t="str">
        <f>IFERROR(INDEX(FAUNA!$D$2:$D$134,MATCH(TRIM(A100),FAUNA!$E$1:E230,0)),"-")</f>
        <v>-</v>
      </c>
    </row>
    <row r="101" spans="1:9" ht="15" customHeight="1" x14ac:dyDescent="0.25">
      <c r="A101" s="127" t="s">
        <v>424</v>
      </c>
      <c r="B101" s="128" t="s">
        <v>544</v>
      </c>
      <c r="C101" s="129" t="s">
        <v>31</v>
      </c>
      <c r="D101" s="129" t="s">
        <v>544</v>
      </c>
      <c r="E101" s="129" t="s">
        <v>544</v>
      </c>
      <c r="F101" s="128" t="s">
        <v>544</v>
      </c>
      <c r="G101" s="4"/>
      <c r="H101" t="str">
        <f>IFERROR(INDEX('Normativa Especies'!$H$2:$H$995,MATCH(TRIM(A101),'Normativa Especies'!$M$2:$M$995,0)),"-")</f>
        <v>-</v>
      </c>
      <c r="I101" t="str">
        <f>IFERROR(INDEX(FAUNA!$D$2:$D$134,MATCH(TRIM(A101),FAUNA!$E$1:E231,0)),"-")</f>
        <v>-</v>
      </c>
    </row>
    <row r="102" spans="1:9" ht="15" customHeight="1" x14ac:dyDescent="0.25">
      <c r="A102" s="130" t="s">
        <v>427</v>
      </c>
      <c r="B102" s="131" t="s">
        <v>657</v>
      </c>
      <c r="C102" s="132" t="s">
        <v>31</v>
      </c>
      <c r="D102" s="132" t="s">
        <v>547</v>
      </c>
      <c r="E102" s="132" t="s">
        <v>544</v>
      </c>
      <c r="F102" s="131" t="s">
        <v>544</v>
      </c>
      <c r="G102" s="4"/>
      <c r="H102" t="str">
        <f>IFERROR(INDEX('Normativa Especies'!$H$2:$H$995,MATCH(TRIM(A102),'Normativa Especies'!$M$2:$M$995,0)),"-")</f>
        <v>LESRPE</v>
      </c>
      <c r="I102" t="str">
        <f>IFERROR(INDEX(FAUNA!$D$2:$D$134,MATCH(TRIM(A102),FAUNA!$E$1:E232,0)),"-")</f>
        <v>-</v>
      </c>
    </row>
    <row r="103" spans="1:9" ht="15" customHeight="1" x14ac:dyDescent="0.25">
      <c r="A103" s="130" t="s">
        <v>430</v>
      </c>
      <c r="B103" s="131" t="s">
        <v>658</v>
      </c>
      <c r="C103" s="132" t="s">
        <v>31</v>
      </c>
      <c r="D103" s="132" t="s">
        <v>547</v>
      </c>
      <c r="E103" s="132" t="s">
        <v>544</v>
      </c>
      <c r="F103" s="131" t="s">
        <v>544</v>
      </c>
      <c r="G103" s="4"/>
      <c r="H103" t="str">
        <f>IFERROR(INDEX('Normativa Especies'!$H$2:$H$995,MATCH(TRIM(A103),'Normativa Especies'!$M$2:$M$995,0)),"-")</f>
        <v>LESRPE</v>
      </c>
      <c r="I103" t="str">
        <f>IFERROR(INDEX(FAUNA!$D$2:$D$134,MATCH(TRIM(A103),FAUNA!$E$1:E233,0)),"-")</f>
        <v>-</v>
      </c>
    </row>
    <row r="104" spans="1:9" ht="15" customHeight="1" x14ac:dyDescent="0.25">
      <c r="A104" s="130" t="s">
        <v>434</v>
      </c>
      <c r="B104" s="131" t="s">
        <v>544</v>
      </c>
      <c r="C104" s="132" t="s">
        <v>31</v>
      </c>
      <c r="D104" s="132" t="s">
        <v>547</v>
      </c>
      <c r="E104" s="132" t="s">
        <v>3833</v>
      </c>
      <c r="F104" s="131" t="s">
        <v>3814</v>
      </c>
      <c r="G104" s="4"/>
      <c r="H104" t="str">
        <f>IFERROR(INDEX('Normativa Especies'!$H$2:$H$995,MATCH(TRIM(A104),'Normativa Especies'!$M$2:$M$995,0)),"-")</f>
        <v>LESRPE</v>
      </c>
      <c r="I104" t="str">
        <f>IFERROR(INDEX(FAUNA!$D$2:$D$134,MATCH(TRIM(A104),FAUNA!$E$1:E234,0)),"-")</f>
        <v>De interés especial</v>
      </c>
    </row>
    <row r="105" spans="1:9" ht="15" customHeight="1" x14ac:dyDescent="0.25">
      <c r="A105" s="136" t="s">
        <v>438</v>
      </c>
      <c r="B105" s="137" t="s">
        <v>3427</v>
      </c>
      <c r="C105" s="138" t="s">
        <v>31</v>
      </c>
      <c r="D105" s="138" t="s">
        <v>1300</v>
      </c>
      <c r="E105" s="138" t="s">
        <v>3832</v>
      </c>
      <c r="F105" s="137" t="s">
        <v>3814</v>
      </c>
      <c r="G105" s="4"/>
      <c r="H105" t="str">
        <f>IFERROR(INDEX('Normativa Especies'!$H$2:$H$995,MATCH(TRIM(A105),'Normativa Especies'!$M$2:$M$995,0)),"-")</f>
        <v>En peligro de extinción</v>
      </c>
      <c r="I105" t="str">
        <f>IFERROR(INDEX(FAUNA!$D$2:$D$134,MATCH(TRIM(A105),FAUNA!$E$1:E235,0)),"-")</f>
        <v>Sensibles a la alteración de su hábitat</v>
      </c>
    </row>
    <row r="106" spans="1:9" ht="15" customHeight="1" x14ac:dyDescent="0.25">
      <c r="A106" s="130" t="s">
        <v>443</v>
      </c>
      <c r="B106" s="131" t="s">
        <v>662</v>
      </c>
      <c r="C106" s="132" t="s">
        <v>31</v>
      </c>
      <c r="D106" s="132" t="s">
        <v>547</v>
      </c>
      <c r="E106" s="132" t="s">
        <v>544</v>
      </c>
      <c r="F106" s="131" t="s">
        <v>544</v>
      </c>
      <c r="G106" s="5"/>
      <c r="H106" t="str">
        <f>IFERROR(INDEX('Normativa Especies'!$H$2:$H$995,MATCH(TRIM(A106),'Normativa Especies'!$M$2:$M$995,0)),"-")</f>
        <v>LESRPE</v>
      </c>
      <c r="I106" t="str">
        <f>IFERROR(INDEX(FAUNA!$D$2:$D$134,MATCH(TRIM(A106),FAUNA!$E$1:E236,0)),"-")</f>
        <v>-</v>
      </c>
    </row>
    <row r="107" spans="1:9" ht="15" customHeight="1" x14ac:dyDescent="0.25">
      <c r="A107" s="127" t="s">
        <v>447</v>
      </c>
      <c r="B107" s="128" t="s">
        <v>544</v>
      </c>
      <c r="C107" s="129" t="s">
        <v>31</v>
      </c>
      <c r="D107" s="129" t="s">
        <v>544</v>
      </c>
      <c r="E107" s="129" t="s">
        <v>544</v>
      </c>
      <c r="F107" s="128" t="s">
        <v>544</v>
      </c>
      <c r="G107" s="4"/>
      <c r="H107" t="str">
        <f>IFERROR(INDEX('Normativa Especies'!$H$2:$H$995,MATCH(TRIM(A107),'Normativa Especies'!$M$2:$M$995,0)),"-")</f>
        <v>-</v>
      </c>
      <c r="I107" t="str">
        <f>IFERROR(INDEX(FAUNA!$D$2:$D$134,MATCH(TRIM(A107),FAUNA!$E$1:E237,0)),"-")</f>
        <v>-</v>
      </c>
    </row>
    <row r="108" spans="1:9" ht="15" customHeight="1" x14ac:dyDescent="0.25">
      <c r="A108" s="130" t="s">
        <v>450</v>
      </c>
      <c r="B108" s="131" t="s">
        <v>544</v>
      </c>
      <c r="C108" s="132" t="s">
        <v>31</v>
      </c>
      <c r="D108" s="132" t="s">
        <v>547</v>
      </c>
      <c r="E108" s="132" t="s">
        <v>3833</v>
      </c>
      <c r="F108" s="131" t="s">
        <v>3814</v>
      </c>
      <c r="G108" s="5"/>
      <c r="H108" t="str">
        <f>IFERROR(INDEX('Normativa Especies'!$H$2:$H$995,MATCH(TRIM(A108),'Normativa Especies'!$M$2:$M$995,0)),"-")</f>
        <v>LESRPE</v>
      </c>
      <c r="I108" t="str">
        <f>IFERROR(INDEX(FAUNA!$D$2:$D$134,MATCH(TRIM(A108),FAUNA!$E$1:E238,0)),"-")</f>
        <v>De interés especial</v>
      </c>
    </row>
    <row r="109" spans="1:9" ht="15" customHeight="1" x14ac:dyDescent="0.25">
      <c r="A109" s="127" t="s">
        <v>453</v>
      </c>
      <c r="B109" s="128" t="s">
        <v>544</v>
      </c>
      <c r="C109" s="129" t="s">
        <v>16</v>
      </c>
      <c r="D109" s="129" t="s">
        <v>544</v>
      </c>
      <c r="E109" s="129" t="s">
        <v>544</v>
      </c>
      <c r="F109" s="128" t="s">
        <v>544</v>
      </c>
      <c r="G109" s="5"/>
      <c r="H109" t="str">
        <f>IFERROR(INDEX('Normativa Especies'!$H$2:$H$995,MATCH(TRIM(A109),'Normativa Especies'!$M$2:$M$995,0)),"-")</f>
        <v>-</v>
      </c>
      <c r="I109" t="str">
        <f>IFERROR(INDEX(FAUNA!$D$2:$D$134,MATCH(TRIM(A109),FAUNA!$E$1:E239,0)),"-")</f>
        <v>-</v>
      </c>
    </row>
    <row r="110" spans="1:9" ht="15" customHeight="1" x14ac:dyDescent="0.25">
      <c r="A110" s="130" t="s">
        <v>458</v>
      </c>
      <c r="B110" s="131" t="s">
        <v>544</v>
      </c>
      <c r="C110" s="132" t="s">
        <v>31</v>
      </c>
      <c r="D110" s="132" t="s">
        <v>547</v>
      </c>
      <c r="E110" s="132" t="s">
        <v>3833</v>
      </c>
      <c r="F110" s="131" t="s">
        <v>3814</v>
      </c>
      <c r="G110" s="5"/>
      <c r="H110" t="str">
        <f>IFERROR(INDEX('Normativa Especies'!$H$2:$H$995,MATCH(TRIM(A110),'Normativa Especies'!$M$2:$M$995,0)),"-")</f>
        <v>LESRPE</v>
      </c>
      <c r="I110" t="str">
        <f>IFERROR(INDEX(FAUNA!$D$2:$D$134,MATCH(TRIM(A110),FAUNA!$E$1:E240,0)),"-")</f>
        <v>De interés especial</v>
      </c>
    </row>
    <row r="111" spans="1:9" ht="15" customHeight="1" x14ac:dyDescent="0.25">
      <c r="A111" s="130" t="s">
        <v>462</v>
      </c>
      <c r="B111" s="131" t="s">
        <v>544</v>
      </c>
      <c r="C111" s="132" t="s">
        <v>31</v>
      </c>
      <c r="D111" s="132" t="s">
        <v>547</v>
      </c>
      <c r="E111" s="132" t="s">
        <v>3833</v>
      </c>
      <c r="F111" s="131" t="s">
        <v>3814</v>
      </c>
      <c r="G111" s="5"/>
      <c r="H111" t="str">
        <f>IFERROR(INDEX('Normativa Especies'!$H$2:$H$995,MATCH(TRIM(A111),'Normativa Especies'!$M$2:$M$995,0)),"-")</f>
        <v>LESRPE</v>
      </c>
      <c r="I111" t="str">
        <f>IFERROR(INDEX(FAUNA!$D$2:$D$134,MATCH(TRIM(A111),FAUNA!$E$1:E241,0)),"-")</f>
        <v>De interés especial</v>
      </c>
    </row>
    <row r="112" spans="1:9" ht="15" customHeight="1" x14ac:dyDescent="0.25">
      <c r="A112" s="127" t="s">
        <v>466</v>
      </c>
      <c r="B112" s="128" t="s">
        <v>544</v>
      </c>
      <c r="C112" s="129" t="s">
        <v>31</v>
      </c>
      <c r="D112" s="129" t="s">
        <v>544</v>
      </c>
      <c r="E112" s="129" t="s">
        <v>544</v>
      </c>
      <c r="F112" s="128" t="s">
        <v>544</v>
      </c>
      <c r="G112" s="5"/>
      <c r="H112" t="str">
        <f>IFERROR(INDEX('Normativa Especies'!$H$2:$H$995,MATCH(TRIM(A112),'Normativa Especies'!$M$2:$M$995,0)),"-")</f>
        <v>-</v>
      </c>
      <c r="I112" t="str">
        <f>IFERROR(INDEX(FAUNA!$D$2:$D$134,MATCH(TRIM(A112),FAUNA!$E$1:E242,0)),"-")</f>
        <v>-</v>
      </c>
    </row>
    <row r="113" spans="1:9" ht="15" customHeight="1" x14ac:dyDescent="0.25">
      <c r="A113" s="127" t="s">
        <v>468</v>
      </c>
      <c r="B113" s="128" t="s">
        <v>544</v>
      </c>
      <c r="C113" s="129" t="s">
        <v>31</v>
      </c>
      <c r="D113" s="129" t="s">
        <v>544</v>
      </c>
      <c r="E113" s="129" t="s">
        <v>544</v>
      </c>
      <c r="F113" s="128" t="s">
        <v>544</v>
      </c>
      <c r="G113" s="4"/>
      <c r="H113" t="str">
        <f>IFERROR(INDEX('Normativa Especies'!$H$2:$H$995,MATCH(TRIM(A113),'Normativa Especies'!$M$2:$M$995,0)),"-")</f>
        <v>-</v>
      </c>
      <c r="I113" t="str">
        <f>IFERROR(INDEX(FAUNA!$D$2:$D$134,MATCH(TRIM(A113),FAUNA!$E$1:E243,0)),"-")</f>
        <v>-</v>
      </c>
    </row>
    <row r="114" spans="1:9" ht="15" customHeight="1" x14ac:dyDescent="0.25">
      <c r="A114" s="127" t="s">
        <v>473</v>
      </c>
      <c r="B114" s="128" t="s">
        <v>544</v>
      </c>
      <c r="C114" s="129" t="s">
        <v>16</v>
      </c>
      <c r="D114" s="129" t="s">
        <v>544</v>
      </c>
      <c r="E114" s="129" t="s">
        <v>544</v>
      </c>
      <c r="F114" s="128" t="s">
        <v>544</v>
      </c>
      <c r="G114" s="4"/>
      <c r="H114" t="str">
        <f>IFERROR(INDEX('Normativa Especies'!$H$2:$H$995,MATCH(TRIM(A114),'Normativa Especies'!$M$2:$M$995,0)),"-")</f>
        <v>-</v>
      </c>
      <c r="I114" t="str">
        <f>IFERROR(INDEX(FAUNA!$D$2:$D$134,MATCH(TRIM(A114),FAUNA!$E$1:E244,0)),"-")</f>
        <v>-</v>
      </c>
    </row>
    <row r="115" spans="1:9" ht="15" customHeight="1" x14ac:dyDescent="0.25">
      <c r="A115" s="130" t="s">
        <v>478</v>
      </c>
      <c r="B115" s="131" t="s">
        <v>1178</v>
      </c>
      <c r="C115" s="132" t="s">
        <v>71</v>
      </c>
      <c r="D115" s="132" t="s">
        <v>547</v>
      </c>
      <c r="E115" s="132" t="s">
        <v>544</v>
      </c>
      <c r="F115" s="131" t="s">
        <v>544</v>
      </c>
      <c r="G115" s="5"/>
      <c r="H115" t="str">
        <f>IFERROR(INDEX('Normativa Especies'!$H$2:$H$995,MATCH(TRIM(A115),'Normativa Especies'!$M$2:$M$995,0)),"-")</f>
        <v>-</v>
      </c>
      <c r="I115" t="str">
        <f>IFERROR(INDEX(FAUNA!$D$2:$D$134,MATCH(TRIM(A115),FAUNA!$E$1:E245,0)),"-")</f>
        <v>-</v>
      </c>
    </row>
    <row r="116" spans="1:9" ht="15" customHeight="1" x14ac:dyDescent="0.25">
      <c r="A116" s="130" t="s">
        <v>482</v>
      </c>
      <c r="B116" s="131" t="s">
        <v>671</v>
      </c>
      <c r="C116" s="132" t="s">
        <v>31</v>
      </c>
      <c r="D116" s="132" t="s">
        <v>547</v>
      </c>
      <c r="E116" s="132" t="s">
        <v>544</v>
      </c>
      <c r="F116" s="131" t="s">
        <v>544</v>
      </c>
      <c r="G116" s="4"/>
      <c r="H116" t="str">
        <f>IFERROR(INDEX('Normativa Especies'!$H$2:$H$995,MATCH(TRIM(A116),'Normativa Especies'!$M$2:$M$995,0)),"-")</f>
        <v>LESRPE</v>
      </c>
      <c r="I116" t="str">
        <f>IFERROR(INDEX(FAUNA!$D$2:$D$134,MATCH(TRIM(A116),FAUNA!$E$1:E246,0)),"-")</f>
        <v>-</v>
      </c>
    </row>
    <row r="117" spans="1:9" ht="15" customHeight="1" x14ac:dyDescent="0.25">
      <c r="A117" s="130" t="s">
        <v>485</v>
      </c>
      <c r="B117" s="131" t="s">
        <v>672</v>
      </c>
      <c r="C117" s="132" t="s">
        <v>95</v>
      </c>
      <c r="D117" s="132" t="s">
        <v>547</v>
      </c>
      <c r="E117" s="132" t="s">
        <v>544</v>
      </c>
      <c r="F117" s="131" t="s">
        <v>544</v>
      </c>
      <c r="G117" s="5"/>
      <c r="H117" t="str">
        <f>IFERROR(INDEX('Normativa Especies'!$H$2:$H$995,MATCH(TRIM(A117),'Normativa Especies'!$M$2:$M$995,0)),"-")</f>
        <v>LESRPE</v>
      </c>
      <c r="I117" t="str">
        <f>IFERROR(INDEX(FAUNA!$D$2:$D$134,MATCH(TRIM(A117),FAUNA!$E$1:E247,0)),"-")</f>
        <v>-</v>
      </c>
    </row>
    <row r="118" spans="1:9" ht="15" customHeight="1" x14ac:dyDescent="0.25">
      <c r="A118" s="127" t="s">
        <v>490</v>
      </c>
      <c r="B118" s="128" t="s">
        <v>544</v>
      </c>
      <c r="C118" s="129" t="s">
        <v>43</v>
      </c>
      <c r="D118" s="129" t="s">
        <v>544</v>
      </c>
      <c r="E118" s="129" t="s">
        <v>544</v>
      </c>
      <c r="F118" s="128" t="s">
        <v>544</v>
      </c>
      <c r="G118" s="5"/>
      <c r="H118" t="str">
        <f>IFERROR(INDEX('Normativa Especies'!$H$2:$H$995,MATCH(TRIM(A118),'Normativa Especies'!$M$2:$M$995,0)),"-")</f>
        <v>-</v>
      </c>
      <c r="I118" t="str">
        <f>IFERROR(INDEX(FAUNA!$D$2:$D$134,MATCH(TRIM(A118),FAUNA!$E$1:E248,0)),"-")</f>
        <v>-</v>
      </c>
    </row>
    <row r="119" spans="1:9" ht="15" customHeight="1" x14ac:dyDescent="0.25">
      <c r="A119" s="130" t="s">
        <v>491</v>
      </c>
      <c r="B119" s="131" t="s">
        <v>934</v>
      </c>
      <c r="C119" s="132" t="s">
        <v>31</v>
      </c>
      <c r="D119" s="132" t="s">
        <v>547</v>
      </c>
      <c r="E119" s="132" t="s">
        <v>544</v>
      </c>
      <c r="F119" s="131" t="s">
        <v>544</v>
      </c>
      <c r="G119" s="6"/>
      <c r="H119" t="str">
        <f>IFERROR(INDEX('Normativa Especies'!$H$2:$H$995,MATCH(TRIM(A119),'Normativa Especies'!$M$2:$M$995,0)),"-")</f>
        <v>LESRPE</v>
      </c>
      <c r="I119" t="str">
        <f>IFERROR(INDEX(FAUNA!$D$2:$D$134,MATCH(TRIM(A119),FAUNA!$E$1:E249,0)),"-")</f>
        <v>-</v>
      </c>
    </row>
    <row r="120" spans="1:9" ht="15" customHeight="1" x14ac:dyDescent="0.25">
      <c r="A120" s="130" t="s">
        <v>492</v>
      </c>
      <c r="B120" s="131" t="s">
        <v>680</v>
      </c>
      <c r="C120" s="132" t="s">
        <v>31</v>
      </c>
      <c r="D120" s="132" t="s">
        <v>547</v>
      </c>
      <c r="E120" s="132" t="s">
        <v>544</v>
      </c>
      <c r="F120" s="131" t="s">
        <v>544</v>
      </c>
      <c r="G120" s="5"/>
      <c r="H120" t="str">
        <f>IFERROR(INDEX('Normativa Especies'!$H$2:$H$995,MATCH(TRIM(A120),'Normativa Especies'!$M$2:$M$995,0)),"-")</f>
        <v>LESRPE</v>
      </c>
      <c r="I120" t="str">
        <f>IFERROR(INDEX(FAUNA!$D$2:$D$134,MATCH(TRIM(A120),FAUNA!$E$1:E250,0)),"-")</f>
        <v>-</v>
      </c>
    </row>
    <row r="121" spans="1:9" ht="15" customHeight="1" x14ac:dyDescent="0.25">
      <c r="A121" s="130" t="s">
        <v>496</v>
      </c>
      <c r="B121" s="131" t="s">
        <v>3656</v>
      </c>
      <c r="C121" s="132" t="s">
        <v>31</v>
      </c>
      <c r="D121" s="132" t="s">
        <v>547</v>
      </c>
      <c r="E121" s="132" t="s">
        <v>544</v>
      </c>
      <c r="F121" s="131" t="s">
        <v>544</v>
      </c>
      <c r="G121" s="4"/>
      <c r="H121" t="str">
        <f>IFERROR(INDEX('Normativa Especies'!$H$2:$H$995,MATCH(TRIM(A121),'Normativa Especies'!$M$2:$M$995,0)),"-")</f>
        <v>LESRPE</v>
      </c>
      <c r="I121" t="str">
        <f>IFERROR(INDEX(FAUNA!$D$2:$D$134,MATCH(TRIM(A121),FAUNA!$E$1:E251,0)),"-")</f>
        <v>-</v>
      </c>
    </row>
    <row r="122" spans="1:9" ht="15" customHeight="1" x14ac:dyDescent="0.25">
      <c r="A122" s="127" t="s">
        <v>499</v>
      </c>
      <c r="B122" s="128" t="s">
        <v>544</v>
      </c>
      <c r="C122" s="129" t="s">
        <v>31</v>
      </c>
      <c r="D122" s="129" t="s">
        <v>544</v>
      </c>
      <c r="E122" s="129" t="s">
        <v>544</v>
      </c>
      <c r="F122" s="128" t="s">
        <v>544</v>
      </c>
      <c r="G122" s="4"/>
      <c r="H122" t="str">
        <f>IFERROR(INDEX('Normativa Especies'!$H$2:$H$995,MATCH(TRIM(A122),'Normativa Especies'!$M$2:$M$995,0)),"-")</f>
        <v>-</v>
      </c>
      <c r="I122" t="str">
        <f>IFERROR(INDEX(FAUNA!$D$2:$D$134,MATCH(TRIM(A122),FAUNA!$E$1:E252,0)),"-")</f>
        <v>-</v>
      </c>
    </row>
    <row r="123" spans="1:9" ht="15" customHeight="1" x14ac:dyDescent="0.25">
      <c r="A123" s="127" t="s">
        <v>502</v>
      </c>
      <c r="B123" s="128" t="s">
        <v>544</v>
      </c>
      <c r="C123" s="129" t="s">
        <v>43</v>
      </c>
      <c r="D123" s="129" t="s">
        <v>544</v>
      </c>
      <c r="E123" s="129" t="s">
        <v>544</v>
      </c>
      <c r="F123" s="128" t="s">
        <v>544</v>
      </c>
      <c r="G123" s="5"/>
      <c r="H123" t="str">
        <f>IFERROR(INDEX('Normativa Especies'!$H$2:$H$995,MATCH(TRIM(A123),'Normativa Especies'!$M$2:$M$995,0)),"-")</f>
        <v>-</v>
      </c>
      <c r="I123" t="str">
        <f>IFERROR(INDEX(FAUNA!$D$2:$D$134,MATCH(TRIM(A123),FAUNA!$E$1:E253,0)),"-")</f>
        <v>-</v>
      </c>
    </row>
    <row r="124" spans="1:9" ht="15" customHeight="1" x14ac:dyDescent="0.25">
      <c r="A124" s="130" t="s">
        <v>508</v>
      </c>
      <c r="B124" s="131" t="s">
        <v>685</v>
      </c>
      <c r="C124" s="132" t="s">
        <v>31</v>
      </c>
      <c r="D124" s="132" t="s">
        <v>547</v>
      </c>
      <c r="E124" s="132" t="s">
        <v>544</v>
      </c>
      <c r="F124" s="131" t="s">
        <v>544</v>
      </c>
      <c r="G124" s="5"/>
      <c r="H124" t="str">
        <f>IFERROR(INDEX('Normativa Especies'!$H$2:$H$995,MATCH(TRIM(A124),'Normativa Especies'!$M$2:$M$995,0)),"-")</f>
        <v>LESRPE</v>
      </c>
      <c r="I124" t="str">
        <f>IFERROR(INDEX(FAUNA!$D$2:$D$134,MATCH(TRIM(A124),FAUNA!$E$1:E254,0)),"-")</f>
        <v>-</v>
      </c>
    </row>
    <row r="125" spans="1:9" ht="15" customHeight="1" x14ac:dyDescent="0.25">
      <c r="A125" s="130" t="s">
        <v>512</v>
      </c>
      <c r="B125" s="131" t="s">
        <v>690</v>
      </c>
      <c r="C125" s="132" t="s">
        <v>31</v>
      </c>
      <c r="D125" s="132" t="s">
        <v>547</v>
      </c>
      <c r="E125" s="132" t="s">
        <v>544</v>
      </c>
      <c r="F125" s="131" t="s">
        <v>544</v>
      </c>
      <c r="G125" s="4"/>
      <c r="H125" t="str">
        <f>IFERROR(INDEX('Normativa Especies'!$H$2:$H$995,MATCH(TRIM(A125),'Normativa Especies'!$M$2:$M$995,0)),"-")</f>
        <v>LESRPE</v>
      </c>
      <c r="I125" t="str">
        <f>IFERROR(INDEX(FAUNA!$D$2:$D$134,MATCH(TRIM(A125),FAUNA!$E$1:E255,0)),"-")</f>
        <v>-</v>
      </c>
    </row>
    <row r="126" spans="1:9" ht="15" customHeight="1" x14ac:dyDescent="0.25">
      <c r="A126" s="130" t="s">
        <v>514</v>
      </c>
      <c r="B126" s="131" t="s">
        <v>691</v>
      </c>
      <c r="C126" s="132" t="s">
        <v>31</v>
      </c>
      <c r="D126" s="132" t="s">
        <v>547</v>
      </c>
      <c r="E126" s="132" t="s">
        <v>544</v>
      </c>
      <c r="F126" s="131" t="s">
        <v>544</v>
      </c>
      <c r="G126" s="5"/>
      <c r="H126" t="str">
        <f>IFERROR(INDEX('Normativa Especies'!$H$2:$H$995,MATCH(TRIM(A126),'Normativa Especies'!$M$2:$M$995,0)),"-")</f>
        <v>LESRPE</v>
      </c>
      <c r="I126" t="str">
        <f>IFERROR(INDEX(FAUNA!$D$2:$D$134,MATCH(TRIM(A126),FAUNA!$E$1:E256,0)),"-")</f>
        <v>-</v>
      </c>
    </row>
    <row r="127" spans="1:9" ht="15" customHeight="1" x14ac:dyDescent="0.25">
      <c r="A127" s="130" t="s">
        <v>516</v>
      </c>
      <c r="B127" s="131" t="s">
        <v>3507</v>
      </c>
      <c r="C127" s="132" t="s">
        <v>31</v>
      </c>
      <c r="D127" s="132" t="s">
        <v>547</v>
      </c>
      <c r="E127" s="132" t="s">
        <v>3833</v>
      </c>
      <c r="F127" s="131" t="s">
        <v>3814</v>
      </c>
      <c r="G127" s="4"/>
      <c r="H127" t="str">
        <f>IFERROR(INDEX('Normativa Especies'!$H$2:$H$995,MATCH(TRIM(A127),'Normativa Especies'!$M$2:$M$995,0)),"-")</f>
        <v>LESRPE</v>
      </c>
      <c r="I127" t="str">
        <f>IFERROR(INDEX(FAUNA!$D$2:$D$134,MATCH(TRIM(A127),FAUNA!$E$1:E257,0)),"-")</f>
        <v>De interés especial</v>
      </c>
    </row>
    <row r="128" spans="1:9" ht="15" customHeight="1" x14ac:dyDescent="0.25">
      <c r="A128" s="130" t="s">
        <v>519</v>
      </c>
      <c r="B128" s="131" t="s">
        <v>544</v>
      </c>
      <c r="C128" s="132" t="s">
        <v>16</v>
      </c>
      <c r="D128" s="132" t="s">
        <v>547</v>
      </c>
      <c r="E128" s="132" t="s">
        <v>3833</v>
      </c>
      <c r="F128" s="131" t="s">
        <v>3814</v>
      </c>
      <c r="G128" s="5"/>
      <c r="H128" t="str">
        <f>IFERROR(INDEX('Normativa Especies'!$H$2:$H$995,MATCH(TRIM(A128),'Normativa Especies'!$M$2:$M$995,0)),"-")</f>
        <v>LESRPE</v>
      </c>
      <c r="I128" t="str">
        <f>IFERROR(INDEX(FAUNA!$D$2:$D$134,MATCH(TRIM(A128),FAUNA!$E$1:E258,0)),"-")</f>
        <v>De interés especial</v>
      </c>
    </row>
    <row r="129" spans="1:9" ht="15" customHeight="1" x14ac:dyDescent="0.25">
      <c r="A129" s="130" t="s">
        <v>524</v>
      </c>
      <c r="B129" s="131" t="s">
        <v>692</v>
      </c>
      <c r="C129" s="132" t="s">
        <v>31</v>
      </c>
      <c r="D129" s="132" t="s">
        <v>547</v>
      </c>
      <c r="E129" s="132" t="s">
        <v>544</v>
      </c>
      <c r="F129" s="131" t="s">
        <v>544</v>
      </c>
      <c r="G129" s="4"/>
      <c r="H129" t="str">
        <f>IFERROR(INDEX('Normativa Especies'!$H$2:$H$995,MATCH(TRIM(A129),'Normativa Especies'!$M$2:$M$995,0)),"-")</f>
        <v>LESRPE</v>
      </c>
      <c r="I129" t="str">
        <f>IFERROR(INDEX(FAUNA!$D$2:$D$134,MATCH(TRIM(A129),FAUNA!$E$1:E259,0)),"-")</f>
        <v>-</v>
      </c>
    </row>
    <row r="130" spans="1:9" ht="15" customHeight="1" x14ac:dyDescent="0.25">
      <c r="A130" s="127" t="s">
        <v>526</v>
      </c>
      <c r="B130" s="128" t="s">
        <v>544</v>
      </c>
      <c r="C130" s="129" t="s">
        <v>16</v>
      </c>
      <c r="D130" s="129" t="s">
        <v>544</v>
      </c>
      <c r="E130" s="129" t="s">
        <v>544</v>
      </c>
      <c r="F130" s="128" t="s">
        <v>544</v>
      </c>
      <c r="G130" s="5"/>
      <c r="H130" t="str">
        <f>IFERROR(INDEX('Normativa Especies'!$H$2:$H$995,MATCH(TRIM(A130),'Normativa Especies'!$M$2:$M$995,0)),"-")</f>
        <v>-</v>
      </c>
      <c r="I130" t="str">
        <f>IFERROR(INDEX(FAUNA!$D$2:$D$134,MATCH(TRIM(A130),FAUNA!$E$1:E260,0)),"-")</f>
        <v>-</v>
      </c>
    </row>
    <row r="131" spans="1:9" ht="15" customHeight="1" x14ac:dyDescent="0.25">
      <c r="A131" s="133" t="s">
        <v>529</v>
      </c>
      <c r="B131" s="134" t="s">
        <v>937</v>
      </c>
      <c r="C131" s="135" t="s">
        <v>31</v>
      </c>
      <c r="D131" s="135" t="s">
        <v>547</v>
      </c>
      <c r="E131" s="135" t="s">
        <v>3834</v>
      </c>
      <c r="F131" s="134" t="s">
        <v>3814</v>
      </c>
      <c r="G131" s="5"/>
      <c r="H131" t="str">
        <f>IFERROR(INDEX('Normativa Especies'!$H$2:$H$995,MATCH(TRIM(A131),'Normativa Especies'!$M$2:$M$995,0)),"-")</f>
        <v>LESRPE</v>
      </c>
      <c r="I131" t="str">
        <f>IFERROR(INDEX(FAUNA!$D$2:$D$134,MATCH(TRIM(A131),FAUNA!$E$1:E261,0)),"-")</f>
        <v>Vulnerables</v>
      </c>
    </row>
    <row r="132" spans="1:9" ht="15" customHeight="1" x14ac:dyDescent="0.25">
      <c r="A132" s="130" t="s">
        <v>533</v>
      </c>
      <c r="B132" s="131" t="s">
        <v>693</v>
      </c>
      <c r="C132" s="132" t="s">
        <v>31</v>
      </c>
      <c r="D132" s="132" t="s">
        <v>547</v>
      </c>
      <c r="E132" s="132" t="s">
        <v>544</v>
      </c>
      <c r="F132" s="131" t="s">
        <v>544</v>
      </c>
      <c r="G132" s="4"/>
      <c r="H132" t="str">
        <f>IFERROR(INDEX('Normativa Especies'!$H$2:$H$995,MATCH(TRIM(A132),'Normativa Especies'!$M$2:$M$995,0)),"-")</f>
        <v>LESRPE</v>
      </c>
      <c r="I132" t="str">
        <f>IFERROR(INDEX(FAUNA!$D$2:$D$134,MATCH(TRIM(A132),FAUNA!$E$1:E262,0)),"-")</f>
        <v>-</v>
      </c>
    </row>
    <row r="133" spans="1:9" ht="15" customHeight="1" x14ac:dyDescent="0.25">
      <c r="G133" s="5"/>
    </row>
    <row r="134" spans="1:9" ht="15" customHeight="1" x14ac:dyDescent="0.25">
      <c r="A134" s="139" t="s">
        <v>694</v>
      </c>
      <c r="G134" s="5"/>
    </row>
    <row r="135" spans="1:9" ht="15" customHeight="1" x14ac:dyDescent="0.25">
      <c r="A135" s="126" t="s">
        <v>3815</v>
      </c>
      <c r="B135" s="126" t="s">
        <v>541</v>
      </c>
      <c r="C135" s="126" t="s">
        <v>3655</v>
      </c>
      <c r="G135" s="5"/>
    </row>
    <row r="136" spans="1:9" ht="15" customHeight="1" x14ac:dyDescent="0.25">
      <c r="A136" s="140" t="s">
        <v>536</v>
      </c>
      <c r="B136" s="141">
        <v>1</v>
      </c>
      <c r="C136" s="141">
        <v>0</v>
      </c>
      <c r="G136" s="5"/>
    </row>
    <row r="137" spans="1:9" ht="15" customHeight="1" x14ac:dyDescent="0.25">
      <c r="A137" s="142" t="s">
        <v>537</v>
      </c>
      <c r="B137" s="143">
        <v>2</v>
      </c>
      <c r="C137" s="143">
        <v>4</v>
      </c>
      <c r="G137" s="4"/>
    </row>
    <row r="138" spans="1:9" ht="15" customHeight="1" x14ac:dyDescent="0.25">
      <c r="A138" s="144" t="s">
        <v>538</v>
      </c>
      <c r="B138" s="145">
        <v>64</v>
      </c>
      <c r="C138" s="145">
        <v>12</v>
      </c>
      <c r="G138" s="4"/>
    </row>
    <row r="139" spans="1:9" ht="15" customHeight="1" x14ac:dyDescent="0.25">
      <c r="G139" s="4"/>
    </row>
    <row r="140" spans="1:9" ht="15" customHeight="1" x14ac:dyDescent="0.25">
      <c r="A140" s="151" t="s">
        <v>3816</v>
      </c>
      <c r="B140" s="150"/>
      <c r="C140" s="150"/>
      <c r="D140" s="150"/>
      <c r="E140" s="150"/>
      <c r="F140" s="150"/>
      <c r="G140" s="4"/>
    </row>
    <row r="141" spans="1:9" ht="15" customHeight="1" x14ac:dyDescent="0.25">
      <c r="G141" s="5"/>
    </row>
    <row r="142" spans="1:9" ht="15" customHeight="1" x14ac:dyDescent="0.25">
      <c r="G142" s="5"/>
    </row>
    <row r="143" spans="1:9" ht="15" customHeight="1" x14ac:dyDescent="0.25">
      <c r="G143" s="5"/>
    </row>
    <row r="144" spans="1:9" ht="15" customHeight="1" x14ac:dyDescent="0.25">
      <c r="G144" s="5"/>
    </row>
    <row r="145" spans="7:7" ht="15" customHeight="1" x14ac:dyDescent="0.25">
      <c r="G145" s="5"/>
    </row>
    <row r="146" spans="7:7" ht="15" customHeight="1" x14ac:dyDescent="0.25">
      <c r="G146" s="5"/>
    </row>
    <row r="147" spans="7:7" ht="15" customHeight="1" x14ac:dyDescent="0.25">
      <c r="G147" s="5"/>
    </row>
    <row r="148" spans="7:7" ht="15" customHeight="1" x14ac:dyDescent="0.25">
      <c r="G148" s="5"/>
    </row>
    <row r="149" spans="7:7" ht="15" customHeight="1" x14ac:dyDescent="0.25">
      <c r="G149" s="5"/>
    </row>
    <row r="150" spans="7:7" ht="15" customHeight="1" x14ac:dyDescent="0.25">
      <c r="G150" s="5"/>
    </row>
    <row r="151" spans="7:7" ht="15" customHeight="1" x14ac:dyDescent="0.25">
      <c r="G151" s="4"/>
    </row>
    <row r="152" spans="7:7" ht="15" customHeight="1" x14ac:dyDescent="0.25">
      <c r="G152" s="4"/>
    </row>
    <row r="153" spans="7:7" ht="15" customHeight="1" x14ac:dyDescent="0.25">
      <c r="G153" s="4"/>
    </row>
    <row r="154" spans="7:7" ht="15" customHeight="1" x14ac:dyDescent="0.25">
      <c r="G154" s="5"/>
    </row>
    <row r="155" spans="7:7" ht="15" customHeight="1" x14ac:dyDescent="0.25">
      <c r="G155" s="5"/>
    </row>
    <row r="156" spans="7:7" ht="15" customHeight="1" x14ac:dyDescent="0.25">
      <c r="G156" s="5"/>
    </row>
    <row r="157" spans="7:7" ht="15" customHeight="1" x14ac:dyDescent="0.25">
      <c r="G157" s="5"/>
    </row>
    <row r="158" spans="7:7" ht="15" customHeight="1" x14ac:dyDescent="0.25">
      <c r="G158" s="5"/>
    </row>
    <row r="159" spans="7:7" ht="15" customHeight="1" x14ac:dyDescent="0.25">
      <c r="G159" s="5"/>
    </row>
    <row r="160" spans="7:7" ht="15" customHeight="1" x14ac:dyDescent="0.25">
      <c r="G160" s="4"/>
    </row>
    <row r="161" spans="7:7" ht="15" customHeight="1" x14ac:dyDescent="0.25">
      <c r="G161" s="5"/>
    </row>
  </sheetData>
  <autoFilter ref="A3:I161" xr:uid="{E22356B0-948C-45B6-B086-2080237954D1}"/>
  <mergeCells count="2">
    <mergeCell ref="A1:F1"/>
    <mergeCell ref="A140:F1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0EE3-C5E0-459D-A566-F81597F5AC8E}">
  <dimension ref="A1:I342"/>
  <sheetViews>
    <sheetView workbookViewId="0">
      <pane ySplit="3" topLeftCell="A4" activePane="bottomLeft" state="frozen"/>
      <selection pane="bottomLeft" activeCell="I14" sqref="I14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8" customWidth="1"/>
    <col min="4" max="4" width="16" customWidth="1"/>
    <col min="5" max="5" width="22" customWidth="1"/>
    <col min="6" max="6" width="38" customWidth="1"/>
    <col min="8" max="8" width="20" customWidth="1"/>
    <col min="9" max="9" width="33.140625" bestFit="1" customWidth="1"/>
  </cols>
  <sheetData>
    <row r="1" spans="1:9" ht="27.95" customHeight="1" x14ac:dyDescent="0.25">
      <c r="A1" s="152" t="s">
        <v>3835</v>
      </c>
      <c r="B1" s="150"/>
      <c r="C1" s="150"/>
      <c r="D1" s="150"/>
      <c r="E1" s="150"/>
      <c r="F1" s="150"/>
    </row>
    <row r="2" spans="1:9" ht="15.95" customHeight="1" x14ac:dyDescent="0.25">
      <c r="A2" s="122" t="s">
        <v>535</v>
      </c>
      <c r="B2" s="123" t="s">
        <v>536</v>
      </c>
      <c r="C2" s="124" t="s">
        <v>537</v>
      </c>
      <c r="D2" s="125" t="s">
        <v>538</v>
      </c>
    </row>
    <row r="3" spans="1:9" ht="18" customHeight="1" x14ac:dyDescent="0.25">
      <c r="A3" s="126" t="s">
        <v>539</v>
      </c>
      <c r="B3" s="126" t="s">
        <v>540</v>
      </c>
      <c r="C3" s="126" t="s">
        <v>0</v>
      </c>
      <c r="D3" s="126" t="s">
        <v>541</v>
      </c>
      <c r="E3" s="126" t="s">
        <v>3655</v>
      </c>
      <c r="F3" s="126" t="s">
        <v>542</v>
      </c>
      <c r="H3" s="7" t="s">
        <v>543</v>
      </c>
      <c r="I3" s="8" t="s">
        <v>3657</v>
      </c>
    </row>
    <row r="4" spans="1:9" ht="15" customHeight="1" x14ac:dyDescent="0.25">
      <c r="A4" s="127" t="s">
        <v>3658</v>
      </c>
      <c r="B4" s="128" t="s">
        <v>544</v>
      </c>
      <c r="C4" s="129" t="s">
        <v>695</v>
      </c>
      <c r="D4" s="129" t="s">
        <v>544</v>
      </c>
      <c r="E4" s="129" t="s">
        <v>544</v>
      </c>
      <c r="F4" s="128" t="s">
        <v>544</v>
      </c>
      <c r="H4" t="str">
        <f>IFERROR(INDEX('Normativa Especies'!$H$2:$H$995,MATCH(TRIM(A4),'Normativa Especies'!$C$2:$C$995,0)),"-")</f>
        <v>-</v>
      </c>
      <c r="I4" t="str">
        <f>IFERROR(INDEX(FLORA!$C$2:$C$107,MATCH(TRIM(A4),FLORA!$D$1:$D$107,0)),"-")</f>
        <v>-</v>
      </c>
    </row>
    <row r="5" spans="1:9" ht="15" customHeight="1" x14ac:dyDescent="0.25">
      <c r="A5" s="127" t="s">
        <v>3659</v>
      </c>
      <c r="B5" s="128" t="s">
        <v>544</v>
      </c>
      <c r="C5" s="129" t="s">
        <v>695</v>
      </c>
      <c r="D5" s="129" t="s">
        <v>544</v>
      </c>
      <c r="E5" s="129" t="s">
        <v>544</v>
      </c>
      <c r="F5" s="128" t="s">
        <v>544</v>
      </c>
      <c r="H5" t="str">
        <f>IFERROR(INDEX('Normativa Especies'!$H$2:$H$995,MATCH(TRIM(A5),'Normativa Especies'!$C$2:$C$995,0)),"-")</f>
        <v>-</v>
      </c>
      <c r="I5" t="str">
        <f>IFERROR(INDEX(FLORA!$C$2:$C$107,MATCH(TRIM(A5),FLORA!$D$1:$D$107,0)),"-")</f>
        <v>-</v>
      </c>
    </row>
    <row r="6" spans="1:9" ht="15" customHeight="1" x14ac:dyDescent="0.25">
      <c r="A6" s="127" t="s">
        <v>3660</v>
      </c>
      <c r="B6" s="128" t="s">
        <v>544</v>
      </c>
      <c r="C6" s="129" t="s">
        <v>695</v>
      </c>
      <c r="D6" s="129" t="s">
        <v>544</v>
      </c>
      <c r="E6" s="129" t="s">
        <v>544</v>
      </c>
      <c r="F6" s="128" t="s">
        <v>544</v>
      </c>
      <c r="H6" t="str">
        <f>IFERROR(INDEX('Normativa Especies'!$H$2:$H$995,MATCH(TRIM(A6),'Normativa Especies'!$C$2:$C$995,0)),"-")</f>
        <v>-</v>
      </c>
      <c r="I6" t="str">
        <f>IFERROR(INDEX(FLORA!$C$2:$C$107,MATCH(TRIM(A6),FLORA!$D$1:$D$107,0)),"-")</f>
        <v>-</v>
      </c>
    </row>
    <row r="7" spans="1:9" ht="15" customHeight="1" x14ac:dyDescent="0.25">
      <c r="A7" s="127" t="s">
        <v>697</v>
      </c>
      <c r="B7" s="128" t="s">
        <v>544</v>
      </c>
      <c r="C7" s="129" t="s">
        <v>695</v>
      </c>
      <c r="D7" s="129" t="s">
        <v>544</v>
      </c>
      <c r="E7" s="129" t="s">
        <v>544</v>
      </c>
      <c r="F7" s="128" t="s">
        <v>544</v>
      </c>
      <c r="H7" t="str">
        <f>IFERROR(INDEX('Normativa Especies'!$H$2:$H$995,MATCH(TRIM(A7),'Normativa Especies'!$C$2:$C$995,0)),"-")</f>
        <v>-</v>
      </c>
      <c r="I7" t="str">
        <f>IFERROR(INDEX(FLORA!$C$2:$C$107,MATCH(TRIM(A7),FLORA!$D$1:$D$107,0)),"-")</f>
        <v>-</v>
      </c>
    </row>
    <row r="8" spans="1:9" ht="15" customHeight="1" x14ac:dyDescent="0.25">
      <c r="A8" s="127" t="s">
        <v>3661</v>
      </c>
      <c r="B8" s="128" t="s">
        <v>544</v>
      </c>
      <c r="C8" s="129" t="s">
        <v>695</v>
      </c>
      <c r="D8" s="129" t="s">
        <v>544</v>
      </c>
      <c r="E8" s="129" t="s">
        <v>544</v>
      </c>
      <c r="F8" s="128" t="s">
        <v>544</v>
      </c>
      <c r="H8" t="str">
        <f>IFERROR(INDEX('Normativa Especies'!$H$2:$H$995,MATCH(TRIM(A8),'Normativa Especies'!$C$2:$C$995,0)),"-")</f>
        <v>-</v>
      </c>
      <c r="I8" t="str">
        <f>IFERROR(INDEX(FLORA!$C$2:$C$107,MATCH(TRIM(A8),FLORA!$D$1:$D$107,0)),"-")</f>
        <v>-</v>
      </c>
    </row>
    <row r="9" spans="1:9" ht="15" customHeight="1" x14ac:dyDescent="0.25">
      <c r="A9" s="127" t="s">
        <v>3662</v>
      </c>
      <c r="B9" s="128" t="s">
        <v>544</v>
      </c>
      <c r="C9" s="129" t="s">
        <v>695</v>
      </c>
      <c r="D9" s="129" t="s">
        <v>544</v>
      </c>
      <c r="E9" s="129" t="s">
        <v>544</v>
      </c>
      <c r="F9" s="128" t="s">
        <v>544</v>
      </c>
      <c r="H9" t="str">
        <f>IFERROR(INDEX('Normativa Especies'!$H$2:$H$995,MATCH(TRIM(A9),'Normativa Especies'!$C$2:$C$995,0)),"-")</f>
        <v>-</v>
      </c>
      <c r="I9" t="str">
        <f>IFERROR(INDEX(FLORA!$C$2:$C$107,MATCH(TRIM(A9),FLORA!$D$1:$D$107,0)),"-")</f>
        <v>-</v>
      </c>
    </row>
    <row r="10" spans="1:9" ht="15" customHeight="1" x14ac:dyDescent="0.25">
      <c r="A10" s="127" t="s">
        <v>3663</v>
      </c>
      <c r="B10" s="128" t="s">
        <v>544</v>
      </c>
      <c r="C10" s="129" t="s">
        <v>695</v>
      </c>
      <c r="D10" s="129" t="s">
        <v>544</v>
      </c>
      <c r="E10" s="129" t="s">
        <v>544</v>
      </c>
      <c r="F10" s="128" t="s">
        <v>544</v>
      </c>
      <c r="H10" t="str">
        <f>IFERROR(INDEX('Normativa Especies'!$H$2:$H$995,MATCH(TRIM(A10),'Normativa Especies'!$C$2:$C$995,0)),"-")</f>
        <v>-</v>
      </c>
      <c r="I10" t="str">
        <f>IFERROR(INDEX(FLORA!$C$2:$C$107,MATCH(TRIM(A10),FLORA!$D$1:$D$107,0)),"-")</f>
        <v>-</v>
      </c>
    </row>
    <row r="11" spans="1:9" ht="15" customHeight="1" x14ac:dyDescent="0.25">
      <c r="A11" s="127" t="s">
        <v>3664</v>
      </c>
      <c r="B11" s="128" t="s">
        <v>544</v>
      </c>
      <c r="C11" s="129" t="s">
        <v>695</v>
      </c>
      <c r="D11" s="129" t="s">
        <v>544</v>
      </c>
      <c r="E11" s="129" t="s">
        <v>544</v>
      </c>
      <c r="F11" s="128" t="s">
        <v>544</v>
      </c>
      <c r="H11" t="str">
        <f>IFERROR(INDEX('Normativa Especies'!$H$2:$H$995,MATCH(TRIM(A11),'Normativa Especies'!$C$2:$C$995,0)),"-")</f>
        <v>-</v>
      </c>
      <c r="I11" t="str">
        <f>IFERROR(INDEX(FLORA!$C$2:$C$107,MATCH(TRIM(A11),FLORA!$D$1:$D$107,0)),"-")</f>
        <v>-</v>
      </c>
    </row>
    <row r="12" spans="1:9" ht="15" customHeight="1" x14ac:dyDescent="0.25">
      <c r="A12" s="127" t="s">
        <v>3665</v>
      </c>
      <c r="B12" s="128" t="s">
        <v>544</v>
      </c>
      <c r="C12" s="129" t="s">
        <v>695</v>
      </c>
      <c r="D12" s="129" t="s">
        <v>544</v>
      </c>
      <c r="E12" s="129" t="s">
        <v>544</v>
      </c>
      <c r="F12" s="128" t="s">
        <v>544</v>
      </c>
      <c r="H12" t="str">
        <f>IFERROR(INDEX('Normativa Especies'!$H$2:$H$995,MATCH(TRIM(A12),'Normativa Especies'!$C$2:$C$995,0)),"-")</f>
        <v>-</v>
      </c>
      <c r="I12" t="str">
        <f>IFERROR(INDEX(FLORA!$C$2:$C$107,MATCH(TRIM(A12),FLORA!$D$1:$D$107,0)),"-")</f>
        <v>-</v>
      </c>
    </row>
    <row r="13" spans="1:9" ht="15" customHeight="1" x14ac:dyDescent="0.25">
      <c r="A13" s="127" t="s">
        <v>3666</v>
      </c>
      <c r="B13" s="128" t="s">
        <v>544</v>
      </c>
      <c r="C13" s="129" t="s">
        <v>695</v>
      </c>
      <c r="D13" s="129" t="s">
        <v>544</v>
      </c>
      <c r="E13" s="129" t="s">
        <v>544</v>
      </c>
      <c r="F13" s="128" t="s">
        <v>544</v>
      </c>
      <c r="H13" t="str">
        <f>IFERROR(INDEX('Normativa Especies'!$H$2:$H$995,MATCH(TRIM(A13),'Normativa Especies'!$C$2:$C$995,0)),"-")</f>
        <v>-</v>
      </c>
      <c r="I13" t="str">
        <f>IFERROR(INDEX(FLORA!$C$2:$C$107,MATCH(TRIM(A13),FLORA!$D$1:$D$107,0)),"-")</f>
        <v>-</v>
      </c>
    </row>
    <row r="14" spans="1:9" ht="15" customHeight="1" x14ac:dyDescent="0.25">
      <c r="A14" s="127" t="s">
        <v>3667</v>
      </c>
      <c r="B14" s="128" t="s">
        <v>544</v>
      </c>
      <c r="C14" s="129" t="s">
        <v>695</v>
      </c>
      <c r="D14" s="129" t="s">
        <v>544</v>
      </c>
      <c r="E14" s="129" t="s">
        <v>544</v>
      </c>
      <c r="F14" s="128" t="s">
        <v>544</v>
      </c>
      <c r="H14" t="str">
        <f>IFERROR(INDEX('Normativa Especies'!$H$2:$H$995,MATCH(TRIM(A14),'Normativa Especies'!$C$2:$C$995,0)),"-")</f>
        <v>-</v>
      </c>
      <c r="I14" t="str">
        <f>IFERROR(INDEX(FLORA!$C$2:$C$107,MATCH(TRIM(A14),FLORA!$D$1:$D$107,0)),"-")</f>
        <v>-</v>
      </c>
    </row>
    <row r="15" spans="1:9" ht="15" customHeight="1" x14ac:dyDescent="0.25">
      <c r="A15" s="127" t="s">
        <v>3668</v>
      </c>
      <c r="B15" s="128" t="s">
        <v>544</v>
      </c>
      <c r="C15" s="129" t="s">
        <v>695</v>
      </c>
      <c r="D15" s="129" t="s">
        <v>544</v>
      </c>
      <c r="E15" s="129" t="s">
        <v>544</v>
      </c>
      <c r="F15" s="128" t="s">
        <v>544</v>
      </c>
      <c r="H15" t="str">
        <f>IFERROR(INDEX('Normativa Especies'!$H$2:$H$995,MATCH(TRIM(A15),'Normativa Especies'!$C$2:$C$995,0)),"-")</f>
        <v>-</v>
      </c>
      <c r="I15" t="str">
        <f>IFERROR(INDEX(FLORA!$C$2:$C$107,MATCH(TRIM(A15),FLORA!$D$1:$D$107,0)),"-")</f>
        <v>-</v>
      </c>
    </row>
    <row r="16" spans="1:9" ht="15" customHeight="1" x14ac:dyDescent="0.25">
      <c r="A16" s="127" t="s">
        <v>699</v>
      </c>
      <c r="B16" s="128" t="s">
        <v>544</v>
      </c>
      <c r="C16" s="129" t="s">
        <v>695</v>
      </c>
      <c r="D16" s="129" t="s">
        <v>544</v>
      </c>
      <c r="E16" s="129" t="s">
        <v>544</v>
      </c>
      <c r="F16" s="128" t="s">
        <v>544</v>
      </c>
      <c r="H16" t="str">
        <f>IFERROR(INDEX('Normativa Especies'!$H$2:$H$995,MATCH(TRIM(A16),'Normativa Especies'!$C$2:$C$995,0)),"-")</f>
        <v>-</v>
      </c>
      <c r="I16" t="str">
        <f>IFERROR(INDEX(FLORA!$C$2:$C$107,MATCH(TRIM(A16),FLORA!$D$1:$D$107,0)),"-")</f>
        <v>-</v>
      </c>
    </row>
    <row r="17" spans="1:9" ht="15" customHeight="1" x14ac:dyDescent="0.25">
      <c r="A17" s="127" t="s">
        <v>3669</v>
      </c>
      <c r="B17" s="128" t="s">
        <v>544</v>
      </c>
      <c r="C17" s="129" t="s">
        <v>695</v>
      </c>
      <c r="D17" s="129" t="s">
        <v>544</v>
      </c>
      <c r="E17" s="129" t="s">
        <v>544</v>
      </c>
      <c r="F17" s="128" t="s">
        <v>544</v>
      </c>
      <c r="H17" t="str">
        <f>IFERROR(INDEX('Normativa Especies'!$H$2:$H$995,MATCH(TRIM(A17),'Normativa Especies'!$C$2:$C$995,0)),"-")</f>
        <v>-</v>
      </c>
      <c r="I17" t="str">
        <f>IFERROR(INDEX(FLORA!$C$2:$C$107,MATCH(TRIM(A17),FLORA!$D$1:$D$107,0)),"-")</f>
        <v>-</v>
      </c>
    </row>
    <row r="18" spans="1:9" ht="15" customHeight="1" x14ac:dyDescent="0.25">
      <c r="A18" s="127" t="s">
        <v>3670</v>
      </c>
      <c r="B18" s="128" t="s">
        <v>544</v>
      </c>
      <c r="C18" s="129" t="s">
        <v>695</v>
      </c>
      <c r="D18" s="129" t="s">
        <v>544</v>
      </c>
      <c r="E18" s="129" t="s">
        <v>544</v>
      </c>
      <c r="F18" s="128" t="s">
        <v>544</v>
      </c>
      <c r="H18" t="str">
        <f>IFERROR(INDEX('Normativa Especies'!$H$2:$H$995,MATCH(TRIM(A18),'Normativa Especies'!$C$2:$C$995,0)),"-")</f>
        <v>-</v>
      </c>
      <c r="I18" t="str">
        <f>IFERROR(INDEX(FLORA!$C$2:$C$107,MATCH(TRIM(A18),FLORA!$D$1:$D$107,0)),"-")</f>
        <v>-</v>
      </c>
    </row>
    <row r="19" spans="1:9" ht="15" customHeight="1" x14ac:dyDescent="0.25">
      <c r="A19" s="127" t="s">
        <v>3671</v>
      </c>
      <c r="B19" s="128" t="s">
        <v>544</v>
      </c>
      <c r="C19" s="129" t="s">
        <v>695</v>
      </c>
      <c r="D19" s="129" t="s">
        <v>544</v>
      </c>
      <c r="E19" s="129" t="s">
        <v>544</v>
      </c>
      <c r="F19" s="128" t="s">
        <v>544</v>
      </c>
      <c r="H19" t="str">
        <f>IFERROR(INDEX('Normativa Especies'!$H$2:$H$995,MATCH(TRIM(A19),'Normativa Especies'!$C$2:$C$995,0)),"-")</f>
        <v>-</v>
      </c>
      <c r="I19" t="str">
        <f>IFERROR(INDEX(FLORA!$C$2:$C$107,MATCH(TRIM(A19),FLORA!$D$1:$D$107,0)),"-")</f>
        <v>-</v>
      </c>
    </row>
    <row r="20" spans="1:9" ht="15" customHeight="1" x14ac:dyDescent="0.25">
      <c r="A20" s="127" t="s">
        <v>3672</v>
      </c>
      <c r="B20" s="128" t="s">
        <v>544</v>
      </c>
      <c r="C20" s="129" t="s">
        <v>695</v>
      </c>
      <c r="D20" s="129" t="s">
        <v>544</v>
      </c>
      <c r="E20" s="129" t="s">
        <v>544</v>
      </c>
      <c r="F20" s="128" t="s">
        <v>544</v>
      </c>
      <c r="H20" t="str">
        <f>IFERROR(INDEX('Normativa Especies'!$H$2:$H$995,MATCH(TRIM(A20),'Normativa Especies'!$C$2:$C$995,0)),"-")</f>
        <v>-</v>
      </c>
      <c r="I20" t="str">
        <f>IFERROR(INDEX(FLORA!$C$2:$C$107,MATCH(TRIM(A20),FLORA!$D$1:$D$107,0)),"-")</f>
        <v>-</v>
      </c>
    </row>
    <row r="21" spans="1:9" ht="15" customHeight="1" x14ac:dyDescent="0.25">
      <c r="A21" s="127" t="s">
        <v>700</v>
      </c>
      <c r="B21" s="128" t="s">
        <v>544</v>
      </c>
      <c r="C21" s="129" t="s">
        <v>695</v>
      </c>
      <c r="D21" s="129" t="s">
        <v>544</v>
      </c>
      <c r="E21" s="129" t="s">
        <v>544</v>
      </c>
      <c r="F21" s="128" t="s">
        <v>544</v>
      </c>
      <c r="H21" t="str">
        <f>IFERROR(INDEX('Normativa Especies'!$H$2:$H$995,MATCH(TRIM(A21),'Normativa Especies'!$C$2:$C$995,0)),"-")</f>
        <v>-</v>
      </c>
      <c r="I21" t="str">
        <f>IFERROR(INDEX(FLORA!$C$2:$C$107,MATCH(TRIM(A21),FLORA!$D$1:$D$107,0)),"-")</f>
        <v>-</v>
      </c>
    </row>
    <row r="22" spans="1:9" ht="15" customHeight="1" x14ac:dyDescent="0.25">
      <c r="A22" s="127" t="s">
        <v>701</v>
      </c>
      <c r="B22" s="128" t="s">
        <v>544</v>
      </c>
      <c r="C22" s="129" t="s">
        <v>695</v>
      </c>
      <c r="D22" s="129" t="s">
        <v>544</v>
      </c>
      <c r="E22" s="129" t="s">
        <v>544</v>
      </c>
      <c r="F22" s="128" t="s">
        <v>544</v>
      </c>
      <c r="H22" t="str">
        <f>IFERROR(INDEX('Normativa Especies'!$H$2:$H$995,MATCH(TRIM(A22),'Normativa Especies'!$C$2:$C$995,0)),"-")</f>
        <v>-</v>
      </c>
      <c r="I22" t="str">
        <f>IFERROR(INDEX(FLORA!$C$2:$C$107,MATCH(TRIM(A22),FLORA!$D$1:$D$107,0)),"-")</f>
        <v>-</v>
      </c>
    </row>
    <row r="23" spans="1:9" ht="15" customHeight="1" x14ac:dyDescent="0.25">
      <c r="A23" s="127" t="s">
        <v>3673</v>
      </c>
      <c r="B23" s="128" t="s">
        <v>544</v>
      </c>
      <c r="C23" s="129" t="s">
        <v>695</v>
      </c>
      <c r="D23" s="129" t="s">
        <v>544</v>
      </c>
      <c r="E23" s="129" t="s">
        <v>544</v>
      </c>
      <c r="F23" s="128" t="s">
        <v>544</v>
      </c>
      <c r="H23" t="str">
        <f>IFERROR(INDEX('Normativa Especies'!$H$2:$H$995,MATCH(TRIM(A23),'Normativa Especies'!$C$2:$C$995,0)),"-")</f>
        <v>-</v>
      </c>
      <c r="I23" t="str">
        <f>IFERROR(INDEX(FLORA!$C$2:$C$107,MATCH(TRIM(A23),FLORA!$D$1:$D$107,0)),"-")</f>
        <v>-</v>
      </c>
    </row>
    <row r="24" spans="1:9" ht="15" customHeight="1" x14ac:dyDescent="0.25">
      <c r="A24" s="127" t="s">
        <v>702</v>
      </c>
      <c r="B24" s="128" t="s">
        <v>544</v>
      </c>
      <c r="C24" s="129" t="s">
        <v>695</v>
      </c>
      <c r="D24" s="129" t="s">
        <v>544</v>
      </c>
      <c r="E24" s="129" t="s">
        <v>544</v>
      </c>
      <c r="F24" s="128" t="s">
        <v>544</v>
      </c>
      <c r="H24" t="str">
        <f>IFERROR(INDEX('Normativa Especies'!$H$2:$H$995,MATCH(TRIM(A24),'Normativa Especies'!$C$2:$C$995,0)),"-")</f>
        <v>-</v>
      </c>
      <c r="I24" t="str">
        <f>IFERROR(INDEX(FLORA!$C$2:$C$107,MATCH(TRIM(A24),FLORA!$D$1:$D$107,0)),"-")</f>
        <v>-</v>
      </c>
    </row>
    <row r="25" spans="1:9" ht="15" customHeight="1" x14ac:dyDescent="0.25">
      <c r="A25" s="127" t="s">
        <v>3674</v>
      </c>
      <c r="B25" s="128" t="s">
        <v>544</v>
      </c>
      <c r="C25" s="129" t="s">
        <v>695</v>
      </c>
      <c r="D25" s="129" t="s">
        <v>544</v>
      </c>
      <c r="E25" s="129" t="s">
        <v>544</v>
      </c>
      <c r="F25" s="128" t="s">
        <v>544</v>
      </c>
      <c r="H25" t="str">
        <f>IFERROR(INDEX('Normativa Especies'!$H$2:$H$995,MATCH(TRIM(A25),'Normativa Especies'!$C$2:$C$995,0)),"-")</f>
        <v>-</v>
      </c>
      <c r="I25" t="str">
        <f>IFERROR(INDEX(FLORA!$C$2:$C$107,MATCH(TRIM(A25),FLORA!$D$1:$D$107,0)),"-")</f>
        <v>-</v>
      </c>
    </row>
    <row r="26" spans="1:9" ht="15" customHeight="1" x14ac:dyDescent="0.25">
      <c r="A26" s="127" t="s">
        <v>3675</v>
      </c>
      <c r="B26" s="128" t="s">
        <v>544</v>
      </c>
      <c r="C26" s="129" t="s">
        <v>695</v>
      </c>
      <c r="D26" s="129" t="s">
        <v>544</v>
      </c>
      <c r="E26" s="129" t="s">
        <v>544</v>
      </c>
      <c r="F26" s="128" t="s">
        <v>544</v>
      </c>
      <c r="H26" t="str">
        <f>IFERROR(INDEX('Normativa Especies'!$H$2:$H$995,MATCH(TRIM(A26),'Normativa Especies'!$C$2:$C$995,0)),"-")</f>
        <v>-</v>
      </c>
      <c r="I26" t="str">
        <f>IFERROR(INDEX(FLORA!$C$2:$C$107,MATCH(TRIM(A26),FLORA!$D$1:$D$107,0)),"-")</f>
        <v>-</v>
      </c>
    </row>
    <row r="27" spans="1:9" ht="15" customHeight="1" x14ac:dyDescent="0.25">
      <c r="A27" s="127" t="s">
        <v>3676</v>
      </c>
      <c r="B27" s="128" t="s">
        <v>544</v>
      </c>
      <c r="C27" s="129" t="s">
        <v>695</v>
      </c>
      <c r="D27" s="129" t="s">
        <v>544</v>
      </c>
      <c r="E27" s="129" t="s">
        <v>544</v>
      </c>
      <c r="F27" s="128" t="s">
        <v>544</v>
      </c>
      <c r="H27" t="str">
        <f>IFERROR(INDEX('Normativa Especies'!$H$2:$H$995,MATCH(TRIM(A27),'Normativa Especies'!$C$2:$C$995,0)),"-")</f>
        <v>-</v>
      </c>
      <c r="I27" t="str">
        <f>IFERROR(INDEX(FLORA!$C$2:$C$107,MATCH(TRIM(A27),FLORA!$D$1:$D$107,0)),"-")</f>
        <v>-</v>
      </c>
    </row>
    <row r="28" spans="1:9" ht="15" customHeight="1" x14ac:dyDescent="0.25">
      <c r="A28" s="127" t="s">
        <v>3677</v>
      </c>
      <c r="B28" s="128" t="s">
        <v>544</v>
      </c>
      <c r="C28" s="129" t="s">
        <v>695</v>
      </c>
      <c r="D28" s="129" t="s">
        <v>544</v>
      </c>
      <c r="E28" s="129" t="s">
        <v>544</v>
      </c>
      <c r="F28" s="128" t="s">
        <v>544</v>
      </c>
      <c r="H28" t="str">
        <f>IFERROR(INDEX('Normativa Especies'!$H$2:$H$995,MATCH(TRIM(A28),'Normativa Especies'!$C$2:$C$995,0)),"-")</f>
        <v>-</v>
      </c>
      <c r="I28" t="str">
        <f>IFERROR(INDEX(FLORA!$C$2:$C$107,MATCH(TRIM(A28),FLORA!$D$1:$D$107,0)),"-")</f>
        <v>-</v>
      </c>
    </row>
    <row r="29" spans="1:9" ht="15" customHeight="1" x14ac:dyDescent="0.25">
      <c r="A29" s="127" t="s">
        <v>705</v>
      </c>
      <c r="B29" s="128" t="s">
        <v>544</v>
      </c>
      <c r="C29" s="129" t="s">
        <v>695</v>
      </c>
      <c r="D29" s="129" t="s">
        <v>544</v>
      </c>
      <c r="E29" s="129" t="s">
        <v>544</v>
      </c>
      <c r="F29" s="128" t="s">
        <v>544</v>
      </c>
      <c r="H29" t="str">
        <f>IFERROR(INDEX('Normativa Especies'!$H$2:$H$995,MATCH(TRIM(A29),'Normativa Especies'!$C$2:$C$995,0)),"-")</f>
        <v>-</v>
      </c>
      <c r="I29" t="str">
        <f>IFERROR(INDEX(FLORA!$C$2:$C$107,MATCH(TRIM(A29),FLORA!$D$1:$D$107,0)),"-")</f>
        <v>-</v>
      </c>
    </row>
    <row r="30" spans="1:9" ht="15" customHeight="1" x14ac:dyDescent="0.25">
      <c r="A30" s="127" t="s">
        <v>3678</v>
      </c>
      <c r="B30" s="128" t="s">
        <v>544</v>
      </c>
      <c r="C30" s="129" t="s">
        <v>695</v>
      </c>
      <c r="D30" s="129" t="s">
        <v>544</v>
      </c>
      <c r="E30" s="129" t="s">
        <v>544</v>
      </c>
      <c r="F30" s="128" t="s">
        <v>544</v>
      </c>
      <c r="H30" t="str">
        <f>IFERROR(INDEX('Normativa Especies'!$H$2:$H$995,MATCH(TRIM(A30),'Normativa Especies'!$C$2:$C$995,0)),"-")</f>
        <v>-</v>
      </c>
      <c r="I30" t="str">
        <f>IFERROR(INDEX(FLORA!$C$2:$C$107,MATCH(TRIM(A30),FLORA!$D$1:$D$107,0)),"-")</f>
        <v>-</v>
      </c>
    </row>
    <row r="31" spans="1:9" ht="15" customHeight="1" x14ac:dyDescent="0.25">
      <c r="A31" s="127" t="s">
        <v>3679</v>
      </c>
      <c r="B31" s="128" t="s">
        <v>544</v>
      </c>
      <c r="C31" s="129" t="s">
        <v>695</v>
      </c>
      <c r="D31" s="129" t="s">
        <v>544</v>
      </c>
      <c r="E31" s="129" t="s">
        <v>544</v>
      </c>
      <c r="F31" s="128" t="s">
        <v>544</v>
      </c>
      <c r="H31" t="str">
        <f>IFERROR(INDEX('Normativa Especies'!$H$2:$H$995,MATCH(TRIM(A31),'Normativa Especies'!$C$2:$C$995,0)),"-")</f>
        <v>-</v>
      </c>
      <c r="I31" t="str">
        <f>IFERROR(INDEX(FLORA!$C$2:$C$107,MATCH(TRIM(A31),FLORA!$D$1:$D$107,0)),"-")</f>
        <v>-</v>
      </c>
    </row>
    <row r="32" spans="1:9" ht="15" customHeight="1" x14ac:dyDescent="0.25"/>
    <row r="33" spans="1:6" ht="15" customHeight="1" x14ac:dyDescent="0.25">
      <c r="A33" s="139" t="s">
        <v>694</v>
      </c>
    </row>
    <row r="34" spans="1:6" ht="15" customHeight="1" x14ac:dyDescent="0.25">
      <c r="A34" s="126" t="s">
        <v>3815</v>
      </c>
      <c r="B34" s="126" t="s">
        <v>541</v>
      </c>
      <c r="C34" s="126" t="s">
        <v>3655</v>
      </c>
    </row>
    <row r="35" spans="1:6" ht="15" customHeight="1" x14ac:dyDescent="0.25"/>
    <row r="36" spans="1:6" ht="15" customHeight="1" x14ac:dyDescent="0.25">
      <c r="A36" s="151" t="s">
        <v>3816</v>
      </c>
      <c r="B36" s="150"/>
      <c r="C36" s="150"/>
      <c r="D36" s="150"/>
      <c r="E36" s="150"/>
      <c r="F36" s="150"/>
    </row>
    <row r="37" spans="1:6" ht="15" customHeight="1" x14ac:dyDescent="0.25"/>
    <row r="38" spans="1:6" ht="15" customHeight="1" x14ac:dyDescent="0.25"/>
    <row r="39" spans="1:6" ht="15" customHeight="1" x14ac:dyDescent="0.25"/>
    <row r="40" spans="1:6" ht="15" customHeight="1" x14ac:dyDescent="0.25"/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</sheetData>
  <mergeCells count="2">
    <mergeCell ref="A1:F1"/>
    <mergeCell ref="A36:F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D1B6-CF90-4B39-BED7-96D4077175E9}">
  <dimension ref="A1:E430"/>
  <sheetViews>
    <sheetView workbookViewId="0">
      <pane ySplit="1" topLeftCell="A2" activePane="bottomLeft" state="frozen"/>
      <selection activeCell="B1" sqref="B1"/>
      <selection pane="bottomLeft" activeCell="A2" sqref="A2:D134"/>
    </sheetView>
  </sheetViews>
  <sheetFormatPr baseColWidth="10" defaultRowHeight="12.75" x14ac:dyDescent="0.2"/>
  <cols>
    <col min="1" max="1" width="15.5703125" style="9" bestFit="1" customWidth="1"/>
    <col min="2" max="2" width="24.140625" style="9" customWidth="1"/>
    <col min="3" max="3" width="49.7109375" style="9" bestFit="1" customWidth="1"/>
    <col min="4" max="4" width="33.140625" style="9" bestFit="1" customWidth="1"/>
    <col min="5" max="5" width="29.28515625" style="9" bestFit="1" customWidth="1"/>
    <col min="6" max="7" width="11.42578125" style="9"/>
    <col min="8" max="8" width="29.42578125" style="9" customWidth="1"/>
    <col min="9" max="246" width="11.42578125" style="9"/>
    <col min="247" max="247" width="13" style="9" customWidth="1"/>
    <col min="248" max="248" width="38.7109375" style="9" customWidth="1"/>
    <col min="249" max="249" width="22.7109375" style="9" customWidth="1"/>
    <col min="250" max="250" width="29.7109375" style="9" customWidth="1"/>
    <col min="251" max="251" width="26" style="9" customWidth="1"/>
    <col min="252" max="252" width="22.28515625" style="9" customWidth="1"/>
    <col min="253" max="253" width="22.42578125" style="9" customWidth="1"/>
    <col min="254" max="502" width="11.42578125" style="9"/>
    <col min="503" max="503" width="13" style="9" customWidth="1"/>
    <col min="504" max="504" width="38.7109375" style="9" customWidth="1"/>
    <col min="505" max="505" width="22.7109375" style="9" customWidth="1"/>
    <col min="506" max="506" width="29.7109375" style="9" customWidth="1"/>
    <col min="507" max="507" width="26" style="9" customWidth="1"/>
    <col min="508" max="508" width="22.28515625" style="9" customWidth="1"/>
    <col min="509" max="509" width="22.42578125" style="9" customWidth="1"/>
    <col min="510" max="758" width="11.42578125" style="9"/>
    <col min="759" max="759" width="13" style="9" customWidth="1"/>
    <col min="760" max="760" width="38.7109375" style="9" customWidth="1"/>
    <col min="761" max="761" width="22.7109375" style="9" customWidth="1"/>
    <col min="762" max="762" width="29.7109375" style="9" customWidth="1"/>
    <col min="763" max="763" width="26" style="9" customWidth="1"/>
    <col min="764" max="764" width="22.28515625" style="9" customWidth="1"/>
    <col min="765" max="765" width="22.42578125" style="9" customWidth="1"/>
    <col min="766" max="1014" width="11.42578125" style="9"/>
    <col min="1015" max="1015" width="13" style="9" customWidth="1"/>
    <col min="1016" max="1016" width="38.7109375" style="9" customWidth="1"/>
    <col min="1017" max="1017" width="22.7109375" style="9" customWidth="1"/>
    <col min="1018" max="1018" width="29.7109375" style="9" customWidth="1"/>
    <col min="1019" max="1019" width="26" style="9" customWidth="1"/>
    <col min="1020" max="1020" width="22.28515625" style="9" customWidth="1"/>
    <col min="1021" max="1021" width="22.42578125" style="9" customWidth="1"/>
    <col min="1022" max="1270" width="11.42578125" style="9"/>
    <col min="1271" max="1271" width="13" style="9" customWidth="1"/>
    <col min="1272" max="1272" width="38.7109375" style="9" customWidth="1"/>
    <col min="1273" max="1273" width="22.7109375" style="9" customWidth="1"/>
    <col min="1274" max="1274" width="29.7109375" style="9" customWidth="1"/>
    <col min="1275" max="1275" width="26" style="9" customWidth="1"/>
    <col min="1276" max="1276" width="22.28515625" style="9" customWidth="1"/>
    <col min="1277" max="1277" width="22.42578125" style="9" customWidth="1"/>
    <col min="1278" max="1526" width="11.42578125" style="9"/>
    <col min="1527" max="1527" width="13" style="9" customWidth="1"/>
    <col min="1528" max="1528" width="38.7109375" style="9" customWidth="1"/>
    <col min="1529" max="1529" width="22.7109375" style="9" customWidth="1"/>
    <col min="1530" max="1530" width="29.7109375" style="9" customWidth="1"/>
    <col min="1531" max="1531" width="26" style="9" customWidth="1"/>
    <col min="1532" max="1532" width="22.28515625" style="9" customWidth="1"/>
    <col min="1533" max="1533" width="22.42578125" style="9" customWidth="1"/>
    <col min="1534" max="1782" width="11.42578125" style="9"/>
    <col min="1783" max="1783" width="13" style="9" customWidth="1"/>
    <col min="1784" max="1784" width="38.7109375" style="9" customWidth="1"/>
    <col min="1785" max="1785" width="22.7109375" style="9" customWidth="1"/>
    <col min="1786" max="1786" width="29.7109375" style="9" customWidth="1"/>
    <col min="1787" max="1787" width="26" style="9" customWidth="1"/>
    <col min="1788" max="1788" width="22.28515625" style="9" customWidth="1"/>
    <col min="1789" max="1789" width="22.42578125" style="9" customWidth="1"/>
    <col min="1790" max="2038" width="11.42578125" style="9"/>
    <col min="2039" max="2039" width="13" style="9" customWidth="1"/>
    <col min="2040" max="2040" width="38.7109375" style="9" customWidth="1"/>
    <col min="2041" max="2041" width="22.7109375" style="9" customWidth="1"/>
    <col min="2042" max="2042" width="29.7109375" style="9" customWidth="1"/>
    <col min="2043" max="2043" width="26" style="9" customWidth="1"/>
    <col min="2044" max="2044" width="22.28515625" style="9" customWidth="1"/>
    <col min="2045" max="2045" width="22.42578125" style="9" customWidth="1"/>
    <col min="2046" max="2294" width="11.42578125" style="9"/>
    <col min="2295" max="2295" width="13" style="9" customWidth="1"/>
    <col min="2296" max="2296" width="38.7109375" style="9" customWidth="1"/>
    <col min="2297" max="2297" width="22.7109375" style="9" customWidth="1"/>
    <col min="2298" max="2298" width="29.7109375" style="9" customWidth="1"/>
    <col min="2299" max="2299" width="26" style="9" customWidth="1"/>
    <col min="2300" max="2300" width="22.28515625" style="9" customWidth="1"/>
    <col min="2301" max="2301" width="22.42578125" style="9" customWidth="1"/>
    <col min="2302" max="2550" width="11.42578125" style="9"/>
    <col min="2551" max="2551" width="13" style="9" customWidth="1"/>
    <col min="2552" max="2552" width="38.7109375" style="9" customWidth="1"/>
    <col min="2553" max="2553" width="22.7109375" style="9" customWidth="1"/>
    <col min="2554" max="2554" width="29.7109375" style="9" customWidth="1"/>
    <col min="2555" max="2555" width="26" style="9" customWidth="1"/>
    <col min="2556" max="2556" width="22.28515625" style="9" customWidth="1"/>
    <col min="2557" max="2557" width="22.42578125" style="9" customWidth="1"/>
    <col min="2558" max="2806" width="11.42578125" style="9"/>
    <col min="2807" max="2807" width="13" style="9" customWidth="1"/>
    <col min="2808" max="2808" width="38.7109375" style="9" customWidth="1"/>
    <col min="2809" max="2809" width="22.7109375" style="9" customWidth="1"/>
    <col min="2810" max="2810" width="29.7109375" style="9" customWidth="1"/>
    <col min="2811" max="2811" width="26" style="9" customWidth="1"/>
    <col min="2812" max="2812" width="22.28515625" style="9" customWidth="1"/>
    <col min="2813" max="2813" width="22.42578125" style="9" customWidth="1"/>
    <col min="2814" max="3062" width="11.42578125" style="9"/>
    <col min="3063" max="3063" width="13" style="9" customWidth="1"/>
    <col min="3064" max="3064" width="38.7109375" style="9" customWidth="1"/>
    <col min="3065" max="3065" width="22.7109375" style="9" customWidth="1"/>
    <col min="3066" max="3066" width="29.7109375" style="9" customWidth="1"/>
    <col min="3067" max="3067" width="26" style="9" customWidth="1"/>
    <col min="3068" max="3068" width="22.28515625" style="9" customWidth="1"/>
    <col min="3069" max="3069" width="22.42578125" style="9" customWidth="1"/>
    <col min="3070" max="3318" width="11.42578125" style="9"/>
    <col min="3319" max="3319" width="13" style="9" customWidth="1"/>
    <col min="3320" max="3320" width="38.7109375" style="9" customWidth="1"/>
    <col min="3321" max="3321" width="22.7109375" style="9" customWidth="1"/>
    <col min="3322" max="3322" width="29.7109375" style="9" customWidth="1"/>
    <col min="3323" max="3323" width="26" style="9" customWidth="1"/>
    <col min="3324" max="3324" width="22.28515625" style="9" customWidth="1"/>
    <col min="3325" max="3325" width="22.42578125" style="9" customWidth="1"/>
    <col min="3326" max="3574" width="11.42578125" style="9"/>
    <col min="3575" max="3575" width="13" style="9" customWidth="1"/>
    <col min="3576" max="3576" width="38.7109375" style="9" customWidth="1"/>
    <col min="3577" max="3577" width="22.7109375" style="9" customWidth="1"/>
    <col min="3578" max="3578" width="29.7109375" style="9" customWidth="1"/>
    <col min="3579" max="3579" width="26" style="9" customWidth="1"/>
    <col min="3580" max="3580" width="22.28515625" style="9" customWidth="1"/>
    <col min="3581" max="3581" width="22.42578125" style="9" customWidth="1"/>
    <col min="3582" max="3830" width="11.42578125" style="9"/>
    <col min="3831" max="3831" width="13" style="9" customWidth="1"/>
    <col min="3832" max="3832" width="38.7109375" style="9" customWidth="1"/>
    <col min="3833" max="3833" width="22.7109375" style="9" customWidth="1"/>
    <col min="3834" max="3834" width="29.7109375" style="9" customWidth="1"/>
    <col min="3835" max="3835" width="26" style="9" customWidth="1"/>
    <col min="3836" max="3836" width="22.28515625" style="9" customWidth="1"/>
    <col min="3837" max="3837" width="22.42578125" style="9" customWidth="1"/>
    <col min="3838" max="4086" width="11.42578125" style="9"/>
    <col min="4087" max="4087" width="13" style="9" customWidth="1"/>
    <col min="4088" max="4088" width="38.7109375" style="9" customWidth="1"/>
    <col min="4089" max="4089" width="22.7109375" style="9" customWidth="1"/>
    <col min="4090" max="4090" width="29.7109375" style="9" customWidth="1"/>
    <col min="4091" max="4091" width="26" style="9" customWidth="1"/>
    <col min="4092" max="4092" width="22.28515625" style="9" customWidth="1"/>
    <col min="4093" max="4093" width="22.42578125" style="9" customWidth="1"/>
    <col min="4094" max="4342" width="11.42578125" style="9"/>
    <col min="4343" max="4343" width="13" style="9" customWidth="1"/>
    <col min="4344" max="4344" width="38.7109375" style="9" customWidth="1"/>
    <col min="4345" max="4345" width="22.7109375" style="9" customWidth="1"/>
    <col min="4346" max="4346" width="29.7109375" style="9" customWidth="1"/>
    <col min="4347" max="4347" width="26" style="9" customWidth="1"/>
    <col min="4348" max="4348" width="22.28515625" style="9" customWidth="1"/>
    <col min="4349" max="4349" width="22.42578125" style="9" customWidth="1"/>
    <col min="4350" max="4598" width="11.42578125" style="9"/>
    <col min="4599" max="4599" width="13" style="9" customWidth="1"/>
    <col min="4600" max="4600" width="38.7109375" style="9" customWidth="1"/>
    <col min="4601" max="4601" width="22.7109375" style="9" customWidth="1"/>
    <col min="4602" max="4602" width="29.7109375" style="9" customWidth="1"/>
    <col min="4603" max="4603" width="26" style="9" customWidth="1"/>
    <col min="4604" max="4604" width="22.28515625" style="9" customWidth="1"/>
    <col min="4605" max="4605" width="22.42578125" style="9" customWidth="1"/>
    <col min="4606" max="4854" width="11.42578125" style="9"/>
    <col min="4855" max="4855" width="13" style="9" customWidth="1"/>
    <col min="4856" max="4856" width="38.7109375" style="9" customWidth="1"/>
    <col min="4857" max="4857" width="22.7109375" style="9" customWidth="1"/>
    <col min="4858" max="4858" width="29.7109375" style="9" customWidth="1"/>
    <col min="4859" max="4859" width="26" style="9" customWidth="1"/>
    <col min="4860" max="4860" width="22.28515625" style="9" customWidth="1"/>
    <col min="4861" max="4861" width="22.42578125" style="9" customWidth="1"/>
    <col min="4862" max="5110" width="11.42578125" style="9"/>
    <col min="5111" max="5111" width="13" style="9" customWidth="1"/>
    <col min="5112" max="5112" width="38.7109375" style="9" customWidth="1"/>
    <col min="5113" max="5113" width="22.7109375" style="9" customWidth="1"/>
    <col min="5114" max="5114" width="29.7109375" style="9" customWidth="1"/>
    <col min="5115" max="5115" width="26" style="9" customWidth="1"/>
    <col min="5116" max="5116" width="22.28515625" style="9" customWidth="1"/>
    <col min="5117" max="5117" width="22.42578125" style="9" customWidth="1"/>
    <col min="5118" max="5366" width="11.42578125" style="9"/>
    <col min="5367" max="5367" width="13" style="9" customWidth="1"/>
    <col min="5368" max="5368" width="38.7109375" style="9" customWidth="1"/>
    <col min="5369" max="5369" width="22.7109375" style="9" customWidth="1"/>
    <col min="5370" max="5370" width="29.7109375" style="9" customWidth="1"/>
    <col min="5371" max="5371" width="26" style="9" customWidth="1"/>
    <col min="5372" max="5372" width="22.28515625" style="9" customWidth="1"/>
    <col min="5373" max="5373" width="22.42578125" style="9" customWidth="1"/>
    <col min="5374" max="5622" width="11.42578125" style="9"/>
    <col min="5623" max="5623" width="13" style="9" customWidth="1"/>
    <col min="5624" max="5624" width="38.7109375" style="9" customWidth="1"/>
    <col min="5625" max="5625" width="22.7109375" style="9" customWidth="1"/>
    <col min="5626" max="5626" width="29.7109375" style="9" customWidth="1"/>
    <col min="5627" max="5627" width="26" style="9" customWidth="1"/>
    <col min="5628" max="5628" width="22.28515625" style="9" customWidth="1"/>
    <col min="5629" max="5629" width="22.42578125" style="9" customWidth="1"/>
    <col min="5630" max="5878" width="11.42578125" style="9"/>
    <col min="5879" max="5879" width="13" style="9" customWidth="1"/>
    <col min="5880" max="5880" width="38.7109375" style="9" customWidth="1"/>
    <col min="5881" max="5881" width="22.7109375" style="9" customWidth="1"/>
    <col min="5882" max="5882" width="29.7109375" style="9" customWidth="1"/>
    <col min="5883" max="5883" width="26" style="9" customWidth="1"/>
    <col min="5884" max="5884" width="22.28515625" style="9" customWidth="1"/>
    <col min="5885" max="5885" width="22.42578125" style="9" customWidth="1"/>
    <col min="5886" max="6134" width="11.42578125" style="9"/>
    <col min="6135" max="6135" width="13" style="9" customWidth="1"/>
    <col min="6136" max="6136" width="38.7109375" style="9" customWidth="1"/>
    <col min="6137" max="6137" width="22.7109375" style="9" customWidth="1"/>
    <col min="6138" max="6138" width="29.7109375" style="9" customWidth="1"/>
    <col min="6139" max="6139" width="26" style="9" customWidth="1"/>
    <col min="6140" max="6140" width="22.28515625" style="9" customWidth="1"/>
    <col min="6141" max="6141" width="22.42578125" style="9" customWidth="1"/>
    <col min="6142" max="6390" width="11.42578125" style="9"/>
    <col min="6391" max="6391" width="13" style="9" customWidth="1"/>
    <col min="6392" max="6392" width="38.7109375" style="9" customWidth="1"/>
    <col min="6393" max="6393" width="22.7109375" style="9" customWidth="1"/>
    <col min="6394" max="6394" width="29.7109375" style="9" customWidth="1"/>
    <col min="6395" max="6395" width="26" style="9" customWidth="1"/>
    <col min="6396" max="6396" width="22.28515625" style="9" customWidth="1"/>
    <col min="6397" max="6397" width="22.42578125" style="9" customWidth="1"/>
    <col min="6398" max="6646" width="11.42578125" style="9"/>
    <col min="6647" max="6647" width="13" style="9" customWidth="1"/>
    <col min="6648" max="6648" width="38.7109375" style="9" customWidth="1"/>
    <col min="6649" max="6649" width="22.7109375" style="9" customWidth="1"/>
    <col min="6650" max="6650" width="29.7109375" style="9" customWidth="1"/>
    <col min="6651" max="6651" width="26" style="9" customWidth="1"/>
    <col min="6652" max="6652" width="22.28515625" style="9" customWidth="1"/>
    <col min="6653" max="6653" width="22.42578125" style="9" customWidth="1"/>
    <col min="6654" max="6902" width="11.42578125" style="9"/>
    <col min="6903" max="6903" width="13" style="9" customWidth="1"/>
    <col min="6904" max="6904" width="38.7109375" style="9" customWidth="1"/>
    <col min="6905" max="6905" width="22.7109375" style="9" customWidth="1"/>
    <col min="6906" max="6906" width="29.7109375" style="9" customWidth="1"/>
    <col min="6907" max="6907" width="26" style="9" customWidth="1"/>
    <col min="6908" max="6908" width="22.28515625" style="9" customWidth="1"/>
    <col min="6909" max="6909" width="22.42578125" style="9" customWidth="1"/>
    <col min="6910" max="7158" width="11.42578125" style="9"/>
    <col min="7159" max="7159" width="13" style="9" customWidth="1"/>
    <col min="7160" max="7160" width="38.7109375" style="9" customWidth="1"/>
    <col min="7161" max="7161" width="22.7109375" style="9" customWidth="1"/>
    <col min="7162" max="7162" width="29.7109375" style="9" customWidth="1"/>
    <col min="7163" max="7163" width="26" style="9" customWidth="1"/>
    <col min="7164" max="7164" width="22.28515625" style="9" customWidth="1"/>
    <col min="7165" max="7165" width="22.42578125" style="9" customWidth="1"/>
    <col min="7166" max="7414" width="11.42578125" style="9"/>
    <col min="7415" max="7415" width="13" style="9" customWidth="1"/>
    <col min="7416" max="7416" width="38.7109375" style="9" customWidth="1"/>
    <col min="7417" max="7417" width="22.7109375" style="9" customWidth="1"/>
    <col min="7418" max="7418" width="29.7109375" style="9" customWidth="1"/>
    <col min="7419" max="7419" width="26" style="9" customWidth="1"/>
    <col min="7420" max="7420" width="22.28515625" style="9" customWidth="1"/>
    <col min="7421" max="7421" width="22.42578125" style="9" customWidth="1"/>
    <col min="7422" max="7670" width="11.42578125" style="9"/>
    <col min="7671" max="7671" width="13" style="9" customWidth="1"/>
    <col min="7672" max="7672" width="38.7109375" style="9" customWidth="1"/>
    <col min="7673" max="7673" width="22.7109375" style="9" customWidth="1"/>
    <col min="7674" max="7674" width="29.7109375" style="9" customWidth="1"/>
    <col min="7675" max="7675" width="26" style="9" customWidth="1"/>
    <col min="7676" max="7676" width="22.28515625" style="9" customWidth="1"/>
    <col min="7677" max="7677" width="22.42578125" style="9" customWidth="1"/>
    <col min="7678" max="7926" width="11.42578125" style="9"/>
    <col min="7927" max="7927" width="13" style="9" customWidth="1"/>
    <col min="7928" max="7928" width="38.7109375" style="9" customWidth="1"/>
    <col min="7929" max="7929" width="22.7109375" style="9" customWidth="1"/>
    <col min="7930" max="7930" width="29.7109375" style="9" customWidth="1"/>
    <col min="7931" max="7931" width="26" style="9" customWidth="1"/>
    <col min="7932" max="7932" width="22.28515625" style="9" customWidth="1"/>
    <col min="7933" max="7933" width="22.42578125" style="9" customWidth="1"/>
    <col min="7934" max="8182" width="11.42578125" style="9"/>
    <col min="8183" max="8183" width="13" style="9" customWidth="1"/>
    <col min="8184" max="8184" width="38.7109375" style="9" customWidth="1"/>
    <col min="8185" max="8185" width="22.7109375" style="9" customWidth="1"/>
    <col min="8186" max="8186" width="29.7109375" style="9" customWidth="1"/>
    <col min="8187" max="8187" width="26" style="9" customWidth="1"/>
    <col min="8188" max="8188" width="22.28515625" style="9" customWidth="1"/>
    <col min="8189" max="8189" width="22.42578125" style="9" customWidth="1"/>
    <col min="8190" max="8438" width="11.42578125" style="9"/>
    <col min="8439" max="8439" width="13" style="9" customWidth="1"/>
    <col min="8440" max="8440" width="38.7109375" style="9" customWidth="1"/>
    <col min="8441" max="8441" width="22.7109375" style="9" customWidth="1"/>
    <col min="8442" max="8442" width="29.7109375" style="9" customWidth="1"/>
    <col min="8443" max="8443" width="26" style="9" customWidth="1"/>
    <col min="8444" max="8444" width="22.28515625" style="9" customWidth="1"/>
    <col min="8445" max="8445" width="22.42578125" style="9" customWidth="1"/>
    <col min="8446" max="8694" width="11.42578125" style="9"/>
    <col min="8695" max="8695" width="13" style="9" customWidth="1"/>
    <col min="8696" max="8696" width="38.7109375" style="9" customWidth="1"/>
    <col min="8697" max="8697" width="22.7109375" style="9" customWidth="1"/>
    <col min="8698" max="8698" width="29.7109375" style="9" customWidth="1"/>
    <col min="8699" max="8699" width="26" style="9" customWidth="1"/>
    <col min="8700" max="8700" width="22.28515625" style="9" customWidth="1"/>
    <col min="8701" max="8701" width="22.42578125" style="9" customWidth="1"/>
    <col min="8702" max="8950" width="11.42578125" style="9"/>
    <col min="8951" max="8951" width="13" style="9" customWidth="1"/>
    <col min="8952" max="8952" width="38.7109375" style="9" customWidth="1"/>
    <col min="8953" max="8953" width="22.7109375" style="9" customWidth="1"/>
    <col min="8954" max="8954" width="29.7109375" style="9" customWidth="1"/>
    <col min="8955" max="8955" width="26" style="9" customWidth="1"/>
    <col min="8956" max="8956" width="22.28515625" style="9" customWidth="1"/>
    <col min="8957" max="8957" width="22.42578125" style="9" customWidth="1"/>
    <col min="8958" max="9206" width="11.42578125" style="9"/>
    <col min="9207" max="9207" width="13" style="9" customWidth="1"/>
    <col min="9208" max="9208" width="38.7109375" style="9" customWidth="1"/>
    <col min="9209" max="9209" width="22.7109375" style="9" customWidth="1"/>
    <col min="9210" max="9210" width="29.7109375" style="9" customWidth="1"/>
    <col min="9211" max="9211" width="26" style="9" customWidth="1"/>
    <col min="9212" max="9212" width="22.28515625" style="9" customWidth="1"/>
    <col min="9213" max="9213" width="22.42578125" style="9" customWidth="1"/>
    <col min="9214" max="9462" width="11.42578125" style="9"/>
    <col min="9463" max="9463" width="13" style="9" customWidth="1"/>
    <col min="9464" max="9464" width="38.7109375" style="9" customWidth="1"/>
    <col min="9465" max="9465" width="22.7109375" style="9" customWidth="1"/>
    <col min="9466" max="9466" width="29.7109375" style="9" customWidth="1"/>
    <col min="9467" max="9467" width="26" style="9" customWidth="1"/>
    <col min="9468" max="9468" width="22.28515625" style="9" customWidth="1"/>
    <col min="9469" max="9469" width="22.42578125" style="9" customWidth="1"/>
    <col min="9470" max="9718" width="11.42578125" style="9"/>
    <col min="9719" max="9719" width="13" style="9" customWidth="1"/>
    <col min="9720" max="9720" width="38.7109375" style="9" customWidth="1"/>
    <col min="9721" max="9721" width="22.7109375" style="9" customWidth="1"/>
    <col min="9722" max="9722" width="29.7109375" style="9" customWidth="1"/>
    <col min="9723" max="9723" width="26" style="9" customWidth="1"/>
    <col min="9724" max="9724" width="22.28515625" style="9" customWidth="1"/>
    <col min="9725" max="9725" width="22.42578125" style="9" customWidth="1"/>
    <col min="9726" max="9974" width="11.42578125" style="9"/>
    <col min="9975" max="9975" width="13" style="9" customWidth="1"/>
    <col min="9976" max="9976" width="38.7109375" style="9" customWidth="1"/>
    <col min="9977" max="9977" width="22.7109375" style="9" customWidth="1"/>
    <col min="9978" max="9978" width="29.7109375" style="9" customWidth="1"/>
    <col min="9979" max="9979" width="26" style="9" customWidth="1"/>
    <col min="9980" max="9980" width="22.28515625" style="9" customWidth="1"/>
    <col min="9981" max="9981" width="22.42578125" style="9" customWidth="1"/>
    <col min="9982" max="10230" width="11.42578125" style="9"/>
    <col min="10231" max="10231" width="13" style="9" customWidth="1"/>
    <col min="10232" max="10232" width="38.7109375" style="9" customWidth="1"/>
    <col min="10233" max="10233" width="22.7109375" style="9" customWidth="1"/>
    <col min="10234" max="10234" width="29.7109375" style="9" customWidth="1"/>
    <col min="10235" max="10235" width="26" style="9" customWidth="1"/>
    <col min="10236" max="10236" width="22.28515625" style="9" customWidth="1"/>
    <col min="10237" max="10237" width="22.42578125" style="9" customWidth="1"/>
    <col min="10238" max="10486" width="11.42578125" style="9"/>
    <col min="10487" max="10487" width="13" style="9" customWidth="1"/>
    <col min="10488" max="10488" width="38.7109375" style="9" customWidth="1"/>
    <col min="10489" max="10489" width="22.7109375" style="9" customWidth="1"/>
    <col min="10490" max="10490" width="29.7109375" style="9" customWidth="1"/>
    <col min="10491" max="10491" width="26" style="9" customWidth="1"/>
    <col min="10492" max="10492" width="22.28515625" style="9" customWidth="1"/>
    <col min="10493" max="10493" width="22.42578125" style="9" customWidth="1"/>
    <col min="10494" max="10742" width="11.42578125" style="9"/>
    <col min="10743" max="10743" width="13" style="9" customWidth="1"/>
    <col min="10744" max="10744" width="38.7109375" style="9" customWidth="1"/>
    <col min="10745" max="10745" width="22.7109375" style="9" customWidth="1"/>
    <col min="10746" max="10746" width="29.7109375" style="9" customWidth="1"/>
    <col min="10747" max="10747" width="26" style="9" customWidth="1"/>
    <col min="10748" max="10748" width="22.28515625" style="9" customWidth="1"/>
    <col min="10749" max="10749" width="22.42578125" style="9" customWidth="1"/>
    <col min="10750" max="10998" width="11.42578125" style="9"/>
    <col min="10999" max="10999" width="13" style="9" customWidth="1"/>
    <col min="11000" max="11000" width="38.7109375" style="9" customWidth="1"/>
    <col min="11001" max="11001" width="22.7109375" style="9" customWidth="1"/>
    <col min="11002" max="11002" width="29.7109375" style="9" customWidth="1"/>
    <col min="11003" max="11003" width="26" style="9" customWidth="1"/>
    <col min="11004" max="11004" width="22.28515625" style="9" customWidth="1"/>
    <col min="11005" max="11005" width="22.42578125" style="9" customWidth="1"/>
    <col min="11006" max="11254" width="11.42578125" style="9"/>
    <col min="11255" max="11255" width="13" style="9" customWidth="1"/>
    <col min="11256" max="11256" width="38.7109375" style="9" customWidth="1"/>
    <col min="11257" max="11257" width="22.7109375" style="9" customWidth="1"/>
    <col min="11258" max="11258" width="29.7109375" style="9" customWidth="1"/>
    <col min="11259" max="11259" width="26" style="9" customWidth="1"/>
    <col min="11260" max="11260" width="22.28515625" style="9" customWidth="1"/>
    <col min="11261" max="11261" width="22.42578125" style="9" customWidth="1"/>
    <col min="11262" max="11510" width="11.42578125" style="9"/>
    <col min="11511" max="11511" width="13" style="9" customWidth="1"/>
    <col min="11512" max="11512" width="38.7109375" style="9" customWidth="1"/>
    <col min="11513" max="11513" width="22.7109375" style="9" customWidth="1"/>
    <col min="11514" max="11514" width="29.7109375" style="9" customWidth="1"/>
    <col min="11515" max="11515" width="26" style="9" customWidth="1"/>
    <col min="11516" max="11516" width="22.28515625" style="9" customWidth="1"/>
    <col min="11517" max="11517" width="22.42578125" style="9" customWidth="1"/>
    <col min="11518" max="11766" width="11.42578125" style="9"/>
    <col min="11767" max="11767" width="13" style="9" customWidth="1"/>
    <col min="11768" max="11768" width="38.7109375" style="9" customWidth="1"/>
    <col min="11769" max="11769" width="22.7109375" style="9" customWidth="1"/>
    <col min="11770" max="11770" width="29.7109375" style="9" customWidth="1"/>
    <col min="11771" max="11771" width="26" style="9" customWidth="1"/>
    <col min="11772" max="11772" width="22.28515625" style="9" customWidth="1"/>
    <col min="11773" max="11773" width="22.42578125" style="9" customWidth="1"/>
    <col min="11774" max="12022" width="11.42578125" style="9"/>
    <col min="12023" max="12023" width="13" style="9" customWidth="1"/>
    <col min="12024" max="12024" width="38.7109375" style="9" customWidth="1"/>
    <col min="12025" max="12025" width="22.7109375" style="9" customWidth="1"/>
    <col min="12026" max="12026" width="29.7109375" style="9" customWidth="1"/>
    <col min="12027" max="12027" width="26" style="9" customWidth="1"/>
    <col min="12028" max="12028" width="22.28515625" style="9" customWidth="1"/>
    <col min="12029" max="12029" width="22.42578125" style="9" customWidth="1"/>
    <col min="12030" max="12278" width="11.42578125" style="9"/>
    <col min="12279" max="12279" width="13" style="9" customWidth="1"/>
    <col min="12280" max="12280" width="38.7109375" style="9" customWidth="1"/>
    <col min="12281" max="12281" width="22.7109375" style="9" customWidth="1"/>
    <col min="12282" max="12282" width="29.7109375" style="9" customWidth="1"/>
    <col min="12283" max="12283" width="26" style="9" customWidth="1"/>
    <col min="12284" max="12284" width="22.28515625" style="9" customWidth="1"/>
    <col min="12285" max="12285" width="22.42578125" style="9" customWidth="1"/>
    <col min="12286" max="12534" width="11.42578125" style="9"/>
    <col min="12535" max="12535" width="13" style="9" customWidth="1"/>
    <col min="12536" max="12536" width="38.7109375" style="9" customWidth="1"/>
    <col min="12537" max="12537" width="22.7109375" style="9" customWidth="1"/>
    <col min="12538" max="12538" width="29.7109375" style="9" customWidth="1"/>
    <col min="12539" max="12539" width="26" style="9" customWidth="1"/>
    <col min="12540" max="12540" width="22.28515625" style="9" customWidth="1"/>
    <col min="12541" max="12541" width="22.42578125" style="9" customWidth="1"/>
    <col min="12542" max="12790" width="11.42578125" style="9"/>
    <col min="12791" max="12791" width="13" style="9" customWidth="1"/>
    <col min="12792" max="12792" width="38.7109375" style="9" customWidth="1"/>
    <col min="12793" max="12793" width="22.7109375" style="9" customWidth="1"/>
    <col min="12794" max="12794" width="29.7109375" style="9" customWidth="1"/>
    <col min="12795" max="12795" width="26" style="9" customWidth="1"/>
    <col min="12796" max="12796" width="22.28515625" style="9" customWidth="1"/>
    <col min="12797" max="12797" width="22.42578125" style="9" customWidth="1"/>
    <col min="12798" max="13046" width="11.42578125" style="9"/>
    <col min="13047" max="13047" width="13" style="9" customWidth="1"/>
    <col min="13048" max="13048" width="38.7109375" style="9" customWidth="1"/>
    <col min="13049" max="13049" width="22.7109375" style="9" customWidth="1"/>
    <col min="13050" max="13050" width="29.7109375" style="9" customWidth="1"/>
    <col min="13051" max="13051" width="26" style="9" customWidth="1"/>
    <col min="13052" max="13052" width="22.28515625" style="9" customWidth="1"/>
    <col min="13053" max="13053" width="22.42578125" style="9" customWidth="1"/>
    <col min="13054" max="13302" width="11.42578125" style="9"/>
    <col min="13303" max="13303" width="13" style="9" customWidth="1"/>
    <col min="13304" max="13304" width="38.7109375" style="9" customWidth="1"/>
    <col min="13305" max="13305" width="22.7109375" style="9" customWidth="1"/>
    <col min="13306" max="13306" width="29.7109375" style="9" customWidth="1"/>
    <col min="13307" max="13307" width="26" style="9" customWidth="1"/>
    <col min="13308" max="13308" width="22.28515625" style="9" customWidth="1"/>
    <col min="13309" max="13309" width="22.42578125" style="9" customWidth="1"/>
    <col min="13310" max="13558" width="11.42578125" style="9"/>
    <col min="13559" max="13559" width="13" style="9" customWidth="1"/>
    <col min="13560" max="13560" width="38.7109375" style="9" customWidth="1"/>
    <col min="13561" max="13561" width="22.7109375" style="9" customWidth="1"/>
    <col min="13562" max="13562" width="29.7109375" style="9" customWidth="1"/>
    <col min="13563" max="13563" width="26" style="9" customWidth="1"/>
    <col min="13564" max="13564" width="22.28515625" style="9" customWidth="1"/>
    <col min="13565" max="13565" width="22.42578125" style="9" customWidth="1"/>
    <col min="13566" max="13814" width="11.42578125" style="9"/>
    <col min="13815" max="13815" width="13" style="9" customWidth="1"/>
    <col min="13816" max="13816" width="38.7109375" style="9" customWidth="1"/>
    <col min="13817" max="13817" width="22.7109375" style="9" customWidth="1"/>
    <col min="13818" max="13818" width="29.7109375" style="9" customWidth="1"/>
    <col min="13819" max="13819" width="26" style="9" customWidth="1"/>
    <col min="13820" max="13820" width="22.28515625" style="9" customWidth="1"/>
    <col min="13821" max="13821" width="22.42578125" style="9" customWidth="1"/>
    <col min="13822" max="14070" width="11.42578125" style="9"/>
    <col min="14071" max="14071" width="13" style="9" customWidth="1"/>
    <col min="14072" max="14072" width="38.7109375" style="9" customWidth="1"/>
    <col min="14073" max="14073" width="22.7109375" style="9" customWidth="1"/>
    <col min="14074" max="14074" width="29.7109375" style="9" customWidth="1"/>
    <col min="14075" max="14075" width="26" style="9" customWidth="1"/>
    <col min="14076" max="14076" width="22.28515625" style="9" customWidth="1"/>
    <col min="14077" max="14077" width="22.42578125" style="9" customWidth="1"/>
    <col min="14078" max="14326" width="11.42578125" style="9"/>
    <col min="14327" max="14327" width="13" style="9" customWidth="1"/>
    <col min="14328" max="14328" width="38.7109375" style="9" customWidth="1"/>
    <col min="14329" max="14329" width="22.7109375" style="9" customWidth="1"/>
    <col min="14330" max="14330" width="29.7109375" style="9" customWidth="1"/>
    <col min="14331" max="14331" width="26" style="9" customWidth="1"/>
    <col min="14332" max="14332" width="22.28515625" style="9" customWidth="1"/>
    <col min="14333" max="14333" width="22.42578125" style="9" customWidth="1"/>
    <col min="14334" max="14582" width="11.42578125" style="9"/>
    <col min="14583" max="14583" width="13" style="9" customWidth="1"/>
    <col min="14584" max="14584" width="38.7109375" style="9" customWidth="1"/>
    <col min="14585" max="14585" width="22.7109375" style="9" customWidth="1"/>
    <col min="14586" max="14586" width="29.7109375" style="9" customWidth="1"/>
    <col min="14587" max="14587" width="26" style="9" customWidth="1"/>
    <col min="14588" max="14588" width="22.28515625" style="9" customWidth="1"/>
    <col min="14589" max="14589" width="22.42578125" style="9" customWidth="1"/>
    <col min="14590" max="14838" width="11.42578125" style="9"/>
    <col min="14839" max="14839" width="13" style="9" customWidth="1"/>
    <col min="14840" max="14840" width="38.7109375" style="9" customWidth="1"/>
    <col min="14841" max="14841" width="22.7109375" style="9" customWidth="1"/>
    <col min="14842" max="14842" width="29.7109375" style="9" customWidth="1"/>
    <col min="14843" max="14843" width="26" style="9" customWidth="1"/>
    <col min="14844" max="14844" width="22.28515625" style="9" customWidth="1"/>
    <col min="14845" max="14845" width="22.42578125" style="9" customWidth="1"/>
    <col min="14846" max="15094" width="11.42578125" style="9"/>
    <col min="15095" max="15095" width="13" style="9" customWidth="1"/>
    <col min="15096" max="15096" width="38.7109375" style="9" customWidth="1"/>
    <col min="15097" max="15097" width="22.7109375" style="9" customWidth="1"/>
    <col min="15098" max="15098" width="29.7109375" style="9" customWidth="1"/>
    <col min="15099" max="15099" width="26" style="9" customWidth="1"/>
    <col min="15100" max="15100" width="22.28515625" style="9" customWidth="1"/>
    <col min="15101" max="15101" width="22.42578125" style="9" customWidth="1"/>
    <col min="15102" max="15350" width="11.42578125" style="9"/>
    <col min="15351" max="15351" width="13" style="9" customWidth="1"/>
    <col min="15352" max="15352" width="38.7109375" style="9" customWidth="1"/>
    <col min="15353" max="15353" width="22.7109375" style="9" customWidth="1"/>
    <col min="15354" max="15354" width="29.7109375" style="9" customWidth="1"/>
    <col min="15355" max="15355" width="26" style="9" customWidth="1"/>
    <col min="15356" max="15356" width="22.28515625" style="9" customWidth="1"/>
    <col min="15357" max="15357" width="22.42578125" style="9" customWidth="1"/>
    <col min="15358" max="15606" width="11.42578125" style="9"/>
    <col min="15607" max="15607" width="13" style="9" customWidth="1"/>
    <col min="15608" max="15608" width="38.7109375" style="9" customWidth="1"/>
    <col min="15609" max="15609" width="22.7109375" style="9" customWidth="1"/>
    <col min="15610" max="15610" width="29.7109375" style="9" customWidth="1"/>
    <col min="15611" max="15611" width="26" style="9" customWidth="1"/>
    <col min="15612" max="15612" width="22.28515625" style="9" customWidth="1"/>
    <col min="15613" max="15613" width="22.42578125" style="9" customWidth="1"/>
    <col min="15614" max="15862" width="11.42578125" style="9"/>
    <col min="15863" max="15863" width="13" style="9" customWidth="1"/>
    <col min="15864" max="15864" width="38.7109375" style="9" customWidth="1"/>
    <col min="15865" max="15865" width="22.7109375" style="9" customWidth="1"/>
    <col min="15866" max="15866" width="29.7109375" style="9" customWidth="1"/>
    <col min="15867" max="15867" width="26" style="9" customWidth="1"/>
    <col min="15868" max="15868" width="22.28515625" style="9" customWidth="1"/>
    <col min="15869" max="15869" width="22.42578125" style="9" customWidth="1"/>
    <col min="15870" max="16118" width="11.42578125" style="9"/>
    <col min="16119" max="16119" width="13" style="9" customWidth="1"/>
    <col min="16120" max="16120" width="38.7109375" style="9" customWidth="1"/>
    <col min="16121" max="16121" width="22.7109375" style="9" customWidth="1"/>
    <col min="16122" max="16122" width="29.7109375" style="9" customWidth="1"/>
    <col min="16123" max="16123" width="26" style="9" customWidth="1"/>
    <col min="16124" max="16124" width="22.28515625" style="9" customWidth="1"/>
    <col min="16125" max="16125" width="22.42578125" style="9" customWidth="1"/>
    <col min="16126" max="16384" width="11.42578125" style="9"/>
  </cols>
  <sheetData>
    <row r="1" spans="1:5" ht="15" x14ac:dyDescent="0.2">
      <c r="A1" s="118" t="s">
        <v>3351</v>
      </c>
      <c r="B1" s="118" t="s">
        <v>540</v>
      </c>
      <c r="C1" s="118" t="s">
        <v>539</v>
      </c>
      <c r="D1" s="118" t="s">
        <v>3352</v>
      </c>
      <c r="E1" s="120" t="s">
        <v>539</v>
      </c>
    </row>
    <row r="2" spans="1:5" ht="15" x14ac:dyDescent="0.2">
      <c r="A2" s="119" t="s">
        <v>3353</v>
      </c>
      <c r="B2" s="119"/>
      <c r="C2" s="119" t="s">
        <v>3354</v>
      </c>
      <c r="D2" s="119" t="s">
        <v>1300</v>
      </c>
      <c r="E2" s="121" t="s">
        <v>2869</v>
      </c>
    </row>
    <row r="3" spans="1:5" ht="15" x14ac:dyDescent="0.2">
      <c r="A3" s="119" t="s">
        <v>3353</v>
      </c>
      <c r="B3" s="119"/>
      <c r="C3" s="119" t="s">
        <v>3355</v>
      </c>
      <c r="D3" s="119" t="s">
        <v>1300</v>
      </c>
      <c r="E3" s="121" t="s">
        <v>3680</v>
      </c>
    </row>
    <row r="4" spans="1:5" ht="15" x14ac:dyDescent="0.2">
      <c r="A4" s="119" t="s">
        <v>3356</v>
      </c>
      <c r="B4" s="119"/>
      <c r="C4" s="119" t="s">
        <v>3357</v>
      </c>
      <c r="D4" s="119" t="s">
        <v>1300</v>
      </c>
      <c r="E4" s="121" t="s">
        <v>1027</v>
      </c>
    </row>
    <row r="5" spans="1:5" ht="15" x14ac:dyDescent="0.2">
      <c r="A5" s="119" t="s">
        <v>3358</v>
      </c>
      <c r="B5" s="119"/>
      <c r="C5" s="119" t="s">
        <v>3359</v>
      </c>
      <c r="D5" s="119" t="s">
        <v>1300</v>
      </c>
      <c r="E5" s="121" t="s">
        <v>1031</v>
      </c>
    </row>
    <row r="6" spans="1:5" ht="15" x14ac:dyDescent="0.2">
      <c r="A6" s="119" t="s">
        <v>3360</v>
      </c>
      <c r="B6" s="119"/>
      <c r="C6" s="119" t="s">
        <v>3361</v>
      </c>
      <c r="D6" s="119" t="s">
        <v>3362</v>
      </c>
      <c r="E6" s="121" t="s">
        <v>3681</v>
      </c>
    </row>
    <row r="7" spans="1:5" ht="15" x14ac:dyDescent="0.2">
      <c r="A7" s="119" t="s">
        <v>3360</v>
      </c>
      <c r="B7" s="119"/>
      <c r="C7" s="119" t="s">
        <v>3363</v>
      </c>
      <c r="D7" s="119" t="s">
        <v>3362</v>
      </c>
      <c r="E7" s="121" t="s">
        <v>3682</v>
      </c>
    </row>
    <row r="8" spans="1:5" ht="15" x14ac:dyDescent="0.2">
      <c r="A8" s="119" t="s">
        <v>3364</v>
      </c>
      <c r="B8" s="119"/>
      <c r="C8" s="119" t="s">
        <v>3365</v>
      </c>
      <c r="D8" s="119" t="s">
        <v>3362</v>
      </c>
      <c r="E8" s="121" t="s">
        <v>3683</v>
      </c>
    </row>
    <row r="9" spans="1:5" ht="15" x14ac:dyDescent="0.2">
      <c r="A9" s="119" t="s">
        <v>3353</v>
      </c>
      <c r="B9" s="119"/>
      <c r="C9" s="119" t="s">
        <v>3366</v>
      </c>
      <c r="D9" s="119" t="s">
        <v>3362</v>
      </c>
      <c r="E9" s="121" t="s">
        <v>3684</v>
      </c>
    </row>
    <row r="10" spans="1:5" ht="15" x14ac:dyDescent="0.2">
      <c r="A10" s="119" t="s">
        <v>3353</v>
      </c>
      <c r="B10" s="119"/>
      <c r="C10" s="119" t="s">
        <v>3367</v>
      </c>
      <c r="D10" s="119" t="s">
        <v>3362</v>
      </c>
      <c r="E10" s="121" t="s">
        <v>3685</v>
      </c>
    </row>
    <row r="11" spans="1:5" ht="15" x14ac:dyDescent="0.2">
      <c r="A11" s="119" t="s">
        <v>3353</v>
      </c>
      <c r="B11" s="119"/>
      <c r="C11" s="119" t="s">
        <v>3368</v>
      </c>
      <c r="D11" s="119" t="s">
        <v>3362</v>
      </c>
      <c r="E11" s="121" t="s">
        <v>3686</v>
      </c>
    </row>
    <row r="12" spans="1:5" ht="15" x14ac:dyDescent="0.2">
      <c r="A12" s="119" t="s">
        <v>3353</v>
      </c>
      <c r="B12" s="119"/>
      <c r="C12" s="119" t="s">
        <v>3369</v>
      </c>
      <c r="D12" s="119" t="s">
        <v>3362</v>
      </c>
      <c r="E12" s="121" t="s">
        <v>3687</v>
      </c>
    </row>
    <row r="13" spans="1:5" ht="15" x14ac:dyDescent="0.2">
      <c r="A13" s="119" t="s">
        <v>3353</v>
      </c>
      <c r="B13" s="119"/>
      <c r="C13" s="119" t="s">
        <v>3370</v>
      </c>
      <c r="D13" s="119" t="s">
        <v>3362</v>
      </c>
      <c r="E13" s="121" t="s">
        <v>3688</v>
      </c>
    </row>
    <row r="14" spans="1:5" ht="15" x14ac:dyDescent="0.2">
      <c r="A14" s="119" t="s">
        <v>3371</v>
      </c>
      <c r="B14" s="119"/>
      <c r="C14" s="119" t="s">
        <v>3372</v>
      </c>
      <c r="D14" s="119" t="s">
        <v>3362</v>
      </c>
      <c r="E14" s="121" t="s">
        <v>3689</v>
      </c>
    </row>
    <row r="15" spans="1:5" ht="15" x14ac:dyDescent="0.2">
      <c r="A15" s="119" t="s">
        <v>3371</v>
      </c>
      <c r="B15" s="119"/>
      <c r="C15" s="119" t="s">
        <v>3373</v>
      </c>
      <c r="D15" s="119" t="s">
        <v>3362</v>
      </c>
      <c r="E15" s="121" t="s">
        <v>3690</v>
      </c>
    </row>
    <row r="16" spans="1:5" ht="15" x14ac:dyDescent="0.2">
      <c r="A16" s="119" t="s">
        <v>3371</v>
      </c>
      <c r="B16" s="119"/>
      <c r="C16" s="119" t="s">
        <v>3374</v>
      </c>
      <c r="D16" s="119" t="s">
        <v>3362</v>
      </c>
      <c r="E16" s="121" t="s">
        <v>3691</v>
      </c>
    </row>
    <row r="17" spans="1:5" ht="15" x14ac:dyDescent="0.2">
      <c r="A17" s="119" t="s">
        <v>3375</v>
      </c>
      <c r="B17" s="119"/>
      <c r="C17" s="119" t="s">
        <v>3376</v>
      </c>
      <c r="D17" s="119" t="s">
        <v>3362</v>
      </c>
      <c r="E17" s="121" t="s">
        <v>3692</v>
      </c>
    </row>
    <row r="18" spans="1:5" ht="15" x14ac:dyDescent="0.2">
      <c r="A18" s="119" t="s">
        <v>3375</v>
      </c>
      <c r="B18" s="119"/>
      <c r="C18" s="119" t="s">
        <v>3377</v>
      </c>
      <c r="D18" s="119" t="s">
        <v>3362</v>
      </c>
      <c r="E18" s="121" t="s">
        <v>3693</v>
      </c>
    </row>
    <row r="19" spans="1:5" ht="15" x14ac:dyDescent="0.2">
      <c r="A19" s="119" t="s">
        <v>3356</v>
      </c>
      <c r="B19" s="119"/>
      <c r="C19" s="119" t="s">
        <v>3378</v>
      </c>
      <c r="D19" s="119" t="s">
        <v>3362</v>
      </c>
      <c r="E19" s="121" t="s">
        <v>3694</v>
      </c>
    </row>
    <row r="20" spans="1:5" ht="15" x14ac:dyDescent="0.2">
      <c r="A20" s="119" t="s">
        <v>3356</v>
      </c>
      <c r="B20" s="119"/>
      <c r="C20" s="119" t="s">
        <v>3379</v>
      </c>
      <c r="D20" s="119" t="s">
        <v>3362</v>
      </c>
      <c r="E20" s="121" t="s">
        <v>3695</v>
      </c>
    </row>
    <row r="21" spans="1:5" ht="15" x14ac:dyDescent="0.2">
      <c r="A21" s="119" t="s">
        <v>3356</v>
      </c>
      <c r="B21" s="119"/>
      <c r="C21" s="119" t="s">
        <v>3380</v>
      </c>
      <c r="D21" s="119" t="s">
        <v>3362</v>
      </c>
      <c r="E21" s="121" t="s">
        <v>3696</v>
      </c>
    </row>
    <row r="22" spans="1:5" ht="15" x14ac:dyDescent="0.2">
      <c r="A22" s="119" t="s">
        <v>3356</v>
      </c>
      <c r="B22" s="119"/>
      <c r="C22" s="119" t="s">
        <v>3381</v>
      </c>
      <c r="D22" s="119" t="s">
        <v>3362</v>
      </c>
      <c r="E22" s="121" t="s">
        <v>3697</v>
      </c>
    </row>
    <row r="23" spans="1:5" ht="15" x14ac:dyDescent="0.2">
      <c r="A23" s="119" t="s">
        <v>3356</v>
      </c>
      <c r="B23" s="119"/>
      <c r="C23" s="119" t="s">
        <v>3382</v>
      </c>
      <c r="D23" s="119" t="s">
        <v>3362</v>
      </c>
      <c r="E23" s="121" t="s">
        <v>3698</v>
      </c>
    </row>
    <row r="24" spans="1:5" ht="15" x14ac:dyDescent="0.2">
      <c r="A24" s="119" t="s">
        <v>3356</v>
      </c>
      <c r="B24" s="119"/>
      <c r="C24" s="119" t="s">
        <v>3383</v>
      </c>
      <c r="D24" s="119" t="s">
        <v>3362</v>
      </c>
      <c r="E24" s="121" t="s">
        <v>3699</v>
      </c>
    </row>
    <row r="25" spans="1:5" ht="15" x14ac:dyDescent="0.2">
      <c r="A25" s="119" t="s">
        <v>3384</v>
      </c>
      <c r="B25" s="119"/>
      <c r="C25" s="119" t="s">
        <v>3385</v>
      </c>
      <c r="D25" s="119" t="s">
        <v>3362</v>
      </c>
      <c r="E25" s="121" t="s">
        <v>3700</v>
      </c>
    </row>
    <row r="26" spans="1:5" ht="15" x14ac:dyDescent="0.2">
      <c r="A26" s="119" t="s">
        <v>3384</v>
      </c>
      <c r="B26" s="119"/>
      <c r="C26" s="119" t="s">
        <v>3386</v>
      </c>
      <c r="D26" s="119" t="s">
        <v>3362</v>
      </c>
      <c r="E26" s="121" t="s">
        <v>3701</v>
      </c>
    </row>
    <row r="27" spans="1:5" ht="15" x14ac:dyDescent="0.2">
      <c r="A27" s="119" t="s">
        <v>3384</v>
      </c>
      <c r="B27" s="119"/>
      <c r="C27" s="119" t="s">
        <v>3387</v>
      </c>
      <c r="D27" s="119" t="s">
        <v>3362</v>
      </c>
      <c r="E27" s="121" t="s">
        <v>3702</v>
      </c>
    </row>
    <row r="28" spans="1:5" ht="15" x14ac:dyDescent="0.2">
      <c r="A28" s="119" t="s">
        <v>3384</v>
      </c>
      <c r="B28" s="119"/>
      <c r="C28" s="119" t="s">
        <v>3388</v>
      </c>
      <c r="D28" s="119" t="s">
        <v>3362</v>
      </c>
      <c r="E28" s="121" t="s">
        <v>3703</v>
      </c>
    </row>
    <row r="29" spans="1:5" ht="15" x14ac:dyDescent="0.2">
      <c r="A29" s="119" t="s">
        <v>3384</v>
      </c>
      <c r="B29" s="119"/>
      <c r="C29" s="119" t="s">
        <v>3389</v>
      </c>
      <c r="D29" s="119" t="s">
        <v>3362</v>
      </c>
      <c r="E29" s="121" t="s">
        <v>3704</v>
      </c>
    </row>
    <row r="30" spans="1:5" ht="15" x14ac:dyDescent="0.2">
      <c r="A30" s="119" t="s">
        <v>3384</v>
      </c>
      <c r="B30" s="119"/>
      <c r="C30" s="119" t="s">
        <v>3390</v>
      </c>
      <c r="D30" s="119" t="s">
        <v>3362</v>
      </c>
      <c r="E30" s="121" t="s">
        <v>3705</v>
      </c>
    </row>
    <row r="31" spans="1:5" ht="15" x14ac:dyDescent="0.2">
      <c r="A31" s="119" t="s">
        <v>3384</v>
      </c>
      <c r="B31" s="119"/>
      <c r="C31" s="119" t="s">
        <v>3391</v>
      </c>
      <c r="D31" s="119" t="s">
        <v>3362</v>
      </c>
      <c r="E31" s="121" t="s">
        <v>3706</v>
      </c>
    </row>
    <row r="32" spans="1:5" ht="15" x14ac:dyDescent="0.2">
      <c r="A32" s="119" t="s">
        <v>3384</v>
      </c>
      <c r="B32" s="119"/>
      <c r="C32" s="119" t="s">
        <v>3392</v>
      </c>
      <c r="D32" s="119" t="s">
        <v>3362</v>
      </c>
      <c r="E32" s="121" t="s">
        <v>3707</v>
      </c>
    </row>
    <row r="33" spans="1:5" ht="27.75" customHeight="1" x14ac:dyDescent="0.2">
      <c r="A33" s="119" t="s">
        <v>3384</v>
      </c>
      <c r="B33" s="119"/>
      <c r="C33" s="119" t="s">
        <v>3393</v>
      </c>
      <c r="D33" s="119" t="s">
        <v>3362</v>
      </c>
      <c r="E33" s="121" t="s">
        <v>3708</v>
      </c>
    </row>
    <row r="34" spans="1:5" ht="15" x14ac:dyDescent="0.2">
      <c r="A34" s="119" t="s">
        <v>3384</v>
      </c>
      <c r="B34" s="119"/>
      <c r="C34" s="119" t="s">
        <v>3394</v>
      </c>
      <c r="D34" s="119" t="s">
        <v>3362</v>
      </c>
      <c r="E34" s="121" t="s">
        <v>3709</v>
      </c>
    </row>
    <row r="35" spans="1:5" ht="15" x14ac:dyDescent="0.2">
      <c r="A35" s="119" t="s">
        <v>3384</v>
      </c>
      <c r="B35" s="119"/>
      <c r="C35" s="119" t="s">
        <v>3395</v>
      </c>
      <c r="D35" s="119" t="s">
        <v>3362</v>
      </c>
      <c r="E35" s="121" t="s">
        <v>3710</v>
      </c>
    </row>
    <row r="36" spans="1:5" ht="15" x14ac:dyDescent="0.2">
      <c r="A36" s="119" t="s">
        <v>3356</v>
      </c>
      <c r="B36" s="119"/>
      <c r="C36" s="119" t="s">
        <v>3396</v>
      </c>
      <c r="D36" s="119" t="s">
        <v>3397</v>
      </c>
      <c r="E36" s="121" t="s">
        <v>3711</v>
      </c>
    </row>
    <row r="37" spans="1:5" ht="15" x14ac:dyDescent="0.2">
      <c r="A37" s="119" t="s">
        <v>3356</v>
      </c>
      <c r="B37" s="119"/>
      <c r="C37" s="119" t="s">
        <v>3398</v>
      </c>
      <c r="D37" s="119" t="s">
        <v>3397</v>
      </c>
      <c r="E37" s="121" t="s">
        <v>1025</v>
      </c>
    </row>
    <row r="38" spans="1:5" ht="15" x14ac:dyDescent="0.2">
      <c r="A38" s="119" t="s">
        <v>3356</v>
      </c>
      <c r="B38" s="119"/>
      <c r="C38" s="119" t="s">
        <v>3399</v>
      </c>
      <c r="D38" s="119" t="s">
        <v>3397</v>
      </c>
      <c r="E38" s="121" t="s">
        <v>3712</v>
      </c>
    </row>
    <row r="39" spans="1:5" ht="15" x14ac:dyDescent="0.2">
      <c r="A39" s="119" t="s">
        <v>3384</v>
      </c>
      <c r="B39" s="119"/>
      <c r="C39" s="119" t="s">
        <v>3400</v>
      </c>
      <c r="D39" s="119" t="s">
        <v>3397</v>
      </c>
      <c r="E39" s="121" t="s">
        <v>2681</v>
      </c>
    </row>
    <row r="40" spans="1:5" ht="15" x14ac:dyDescent="0.2">
      <c r="A40" s="119" t="s">
        <v>3356</v>
      </c>
      <c r="B40" s="119"/>
      <c r="C40" s="119" t="s">
        <v>3401</v>
      </c>
      <c r="D40" s="119" t="s">
        <v>3402</v>
      </c>
      <c r="E40" s="121" t="s">
        <v>3713</v>
      </c>
    </row>
    <row r="41" spans="1:5" ht="15" x14ac:dyDescent="0.2">
      <c r="A41" s="119" t="s">
        <v>3356</v>
      </c>
      <c r="B41" s="119"/>
      <c r="C41" s="119" t="s">
        <v>3403</v>
      </c>
      <c r="D41" s="119" t="s">
        <v>3402</v>
      </c>
      <c r="E41" s="121" t="s">
        <v>1026</v>
      </c>
    </row>
    <row r="42" spans="1:5" ht="15" x14ac:dyDescent="0.2">
      <c r="A42" s="119" t="s">
        <v>3356</v>
      </c>
      <c r="B42" s="119"/>
      <c r="C42" s="119" t="s">
        <v>3404</v>
      </c>
      <c r="D42" s="119" t="s">
        <v>3402</v>
      </c>
      <c r="E42" s="121" t="s">
        <v>3714</v>
      </c>
    </row>
    <row r="43" spans="1:5" ht="15" x14ac:dyDescent="0.2">
      <c r="A43" s="119" t="s">
        <v>3356</v>
      </c>
      <c r="B43" s="119"/>
      <c r="C43" s="119" t="s">
        <v>3405</v>
      </c>
      <c r="D43" s="119" t="s">
        <v>3402</v>
      </c>
      <c r="E43" s="121" t="s">
        <v>3715</v>
      </c>
    </row>
    <row r="44" spans="1:5" ht="15" x14ac:dyDescent="0.2">
      <c r="A44" s="119" t="s">
        <v>3061</v>
      </c>
      <c r="B44" s="119" t="s">
        <v>3406</v>
      </c>
      <c r="C44" s="119" t="s">
        <v>3407</v>
      </c>
      <c r="D44" s="146" t="s">
        <v>1300</v>
      </c>
      <c r="E44" s="121" t="s">
        <v>3716</v>
      </c>
    </row>
    <row r="45" spans="1:5" ht="15" x14ac:dyDescent="0.2">
      <c r="A45" s="119" t="s">
        <v>3061</v>
      </c>
      <c r="B45" s="119" t="s">
        <v>3408</v>
      </c>
      <c r="C45" s="119" t="s">
        <v>3409</v>
      </c>
      <c r="D45" s="146" t="s">
        <v>1300</v>
      </c>
      <c r="E45" s="121" t="s">
        <v>3717</v>
      </c>
    </row>
    <row r="46" spans="1:5" ht="15" x14ac:dyDescent="0.2">
      <c r="A46" s="119" t="s">
        <v>3061</v>
      </c>
      <c r="B46" s="119" t="s">
        <v>3410</v>
      </c>
      <c r="C46" s="119" t="s">
        <v>3411</v>
      </c>
      <c r="D46" s="146" t="s">
        <v>1300</v>
      </c>
      <c r="E46" s="121" t="s">
        <v>3718</v>
      </c>
    </row>
    <row r="47" spans="1:5" ht="15" x14ac:dyDescent="0.2">
      <c r="A47" s="119" t="s">
        <v>3061</v>
      </c>
      <c r="B47" s="119" t="s">
        <v>3412</v>
      </c>
      <c r="C47" s="119" t="s">
        <v>3413</v>
      </c>
      <c r="D47" s="146" t="s">
        <v>1300</v>
      </c>
      <c r="E47" s="121" t="s">
        <v>3719</v>
      </c>
    </row>
    <row r="48" spans="1:5" ht="15" x14ac:dyDescent="0.2">
      <c r="A48" s="119" t="s">
        <v>95</v>
      </c>
      <c r="B48" s="119" t="s">
        <v>1333</v>
      </c>
      <c r="C48" s="119" t="s">
        <v>3414</v>
      </c>
      <c r="D48" s="146" t="s">
        <v>1300</v>
      </c>
      <c r="E48" s="121" t="s">
        <v>3720</v>
      </c>
    </row>
    <row r="49" spans="1:5" ht="15" x14ac:dyDescent="0.2">
      <c r="A49" s="119" t="s">
        <v>71</v>
      </c>
      <c r="B49" s="119" t="s">
        <v>1159</v>
      </c>
      <c r="C49" s="119" t="s">
        <v>3415</v>
      </c>
      <c r="D49" s="146" t="s">
        <v>1300</v>
      </c>
      <c r="E49" s="121" t="s">
        <v>1158</v>
      </c>
    </row>
    <row r="50" spans="1:5" ht="15" x14ac:dyDescent="0.2">
      <c r="A50" s="119" t="s">
        <v>31</v>
      </c>
      <c r="B50" s="119" t="s">
        <v>3416</v>
      </c>
      <c r="C50" s="119" t="s">
        <v>3417</v>
      </c>
      <c r="D50" s="146" t="s">
        <v>1300</v>
      </c>
      <c r="E50" s="121" t="s">
        <v>1645</v>
      </c>
    </row>
    <row r="51" spans="1:5" ht="15" x14ac:dyDescent="0.2">
      <c r="A51" s="119" t="s">
        <v>31</v>
      </c>
      <c r="B51" s="119" t="s">
        <v>3817</v>
      </c>
      <c r="C51" s="119" t="s">
        <v>3418</v>
      </c>
      <c r="D51" s="146" t="s">
        <v>1300</v>
      </c>
      <c r="E51" s="121" t="s">
        <v>607</v>
      </c>
    </row>
    <row r="52" spans="1:5" ht="15" x14ac:dyDescent="0.2">
      <c r="A52" s="119" t="s">
        <v>31</v>
      </c>
      <c r="B52" s="119" t="s">
        <v>3818</v>
      </c>
      <c r="C52" s="119" t="s">
        <v>3419</v>
      </c>
      <c r="D52" s="146" t="s">
        <v>1300</v>
      </c>
      <c r="E52" s="121" t="s">
        <v>1394</v>
      </c>
    </row>
    <row r="53" spans="1:5" ht="15" x14ac:dyDescent="0.2">
      <c r="A53" s="119" t="s">
        <v>31</v>
      </c>
      <c r="B53" s="119" t="s">
        <v>762</v>
      </c>
      <c r="C53" s="119" t="s">
        <v>3420</v>
      </c>
      <c r="D53" s="146" t="s">
        <v>1300</v>
      </c>
      <c r="E53" s="121" t="s">
        <v>1486</v>
      </c>
    </row>
    <row r="54" spans="1:5" ht="15" x14ac:dyDescent="0.2">
      <c r="A54" s="119" t="s">
        <v>31</v>
      </c>
      <c r="B54" s="119" t="s">
        <v>787</v>
      </c>
      <c r="C54" s="119" t="s">
        <v>3421</v>
      </c>
      <c r="D54" s="146" t="s">
        <v>1300</v>
      </c>
      <c r="E54" s="121" t="s">
        <v>786</v>
      </c>
    </row>
    <row r="55" spans="1:5" ht="15" x14ac:dyDescent="0.2">
      <c r="A55" s="119" t="s">
        <v>31</v>
      </c>
      <c r="B55" s="119" t="s">
        <v>808</v>
      </c>
      <c r="C55" s="119" t="s">
        <v>3422</v>
      </c>
      <c r="D55" s="146" t="s">
        <v>1300</v>
      </c>
      <c r="E55" s="121" t="s">
        <v>807</v>
      </c>
    </row>
    <row r="56" spans="1:5" ht="15" x14ac:dyDescent="0.2">
      <c r="A56" s="119" t="s">
        <v>16</v>
      </c>
      <c r="B56" s="119" t="s">
        <v>3437</v>
      </c>
      <c r="C56" s="119" t="s">
        <v>3438</v>
      </c>
      <c r="D56" s="146" t="s">
        <v>1300</v>
      </c>
      <c r="E56" s="121" t="s">
        <v>3721</v>
      </c>
    </row>
    <row r="57" spans="1:5" ht="15" x14ac:dyDescent="0.2">
      <c r="A57" s="119" t="s">
        <v>16</v>
      </c>
      <c r="B57" s="119" t="s">
        <v>572</v>
      </c>
      <c r="C57" s="119" t="s">
        <v>3439</v>
      </c>
      <c r="D57" s="146" t="s">
        <v>1300</v>
      </c>
      <c r="E57" s="121" t="s">
        <v>571</v>
      </c>
    </row>
    <row r="58" spans="1:5" ht="15" x14ac:dyDescent="0.2">
      <c r="A58" s="119" t="s">
        <v>16</v>
      </c>
      <c r="B58" s="119" t="s">
        <v>3440</v>
      </c>
      <c r="C58" s="119" t="s">
        <v>3441</v>
      </c>
      <c r="D58" s="146" t="s">
        <v>1300</v>
      </c>
      <c r="E58" s="121" t="s">
        <v>2954</v>
      </c>
    </row>
    <row r="59" spans="1:5" ht="15" x14ac:dyDescent="0.2">
      <c r="A59" s="119" t="s">
        <v>31</v>
      </c>
      <c r="B59" s="119" t="s">
        <v>748</v>
      </c>
      <c r="C59" s="119" t="s">
        <v>3423</v>
      </c>
      <c r="D59" s="147" t="s">
        <v>3362</v>
      </c>
      <c r="E59" s="121" t="s">
        <v>747</v>
      </c>
    </row>
    <row r="60" spans="1:5" ht="15" x14ac:dyDescent="0.2">
      <c r="A60" s="119" t="s">
        <v>31</v>
      </c>
      <c r="B60" s="119" t="s">
        <v>790</v>
      </c>
      <c r="C60" s="119" t="s">
        <v>3424</v>
      </c>
      <c r="D60" s="147" t="s">
        <v>3362</v>
      </c>
      <c r="E60" s="121" t="s">
        <v>789</v>
      </c>
    </row>
    <row r="61" spans="1:5" ht="15" x14ac:dyDescent="0.2">
      <c r="A61" s="119" t="s">
        <v>31</v>
      </c>
      <c r="B61" s="119" t="s">
        <v>3425</v>
      </c>
      <c r="C61" s="119" t="s">
        <v>3426</v>
      </c>
      <c r="D61" s="147" t="s">
        <v>3362</v>
      </c>
      <c r="E61" s="121" t="s">
        <v>827</v>
      </c>
    </row>
    <row r="62" spans="1:5" ht="15" x14ac:dyDescent="0.2">
      <c r="A62" s="119" t="s">
        <v>31</v>
      </c>
      <c r="B62" s="119" t="s">
        <v>3427</v>
      </c>
      <c r="C62" s="119" t="s">
        <v>3428</v>
      </c>
      <c r="D62" s="147" t="s">
        <v>3362</v>
      </c>
      <c r="E62" s="121" t="s">
        <v>438</v>
      </c>
    </row>
    <row r="63" spans="1:5" ht="15" x14ac:dyDescent="0.2">
      <c r="A63" s="119" t="s">
        <v>31</v>
      </c>
      <c r="B63" s="119" t="s">
        <v>3429</v>
      </c>
      <c r="C63" s="119" t="s">
        <v>3430</v>
      </c>
      <c r="D63" s="147" t="s">
        <v>3362</v>
      </c>
      <c r="E63" s="121" t="s">
        <v>89</v>
      </c>
    </row>
    <row r="64" spans="1:5" ht="15" x14ac:dyDescent="0.2">
      <c r="A64" s="119" t="s">
        <v>31</v>
      </c>
      <c r="B64" s="119" t="s">
        <v>927</v>
      </c>
      <c r="C64" s="119" t="s">
        <v>3819</v>
      </c>
      <c r="D64" s="147" t="s">
        <v>3362</v>
      </c>
      <c r="E64" s="121" t="s">
        <v>926</v>
      </c>
    </row>
    <row r="65" spans="1:5" ht="15" x14ac:dyDescent="0.2">
      <c r="A65" s="119" t="s">
        <v>31</v>
      </c>
      <c r="B65" s="119" t="s">
        <v>925</v>
      </c>
      <c r="C65" s="119" t="s">
        <v>3431</v>
      </c>
      <c r="D65" s="147" t="s">
        <v>3362</v>
      </c>
      <c r="E65" s="121" t="s">
        <v>924</v>
      </c>
    </row>
    <row r="66" spans="1:5" ht="15" x14ac:dyDescent="0.2">
      <c r="A66" s="119" t="s">
        <v>31</v>
      </c>
      <c r="B66" s="119" t="s">
        <v>983</v>
      </c>
      <c r="C66" s="119" t="s">
        <v>3432</v>
      </c>
      <c r="D66" s="147" t="s">
        <v>3362</v>
      </c>
      <c r="E66" s="121" t="s">
        <v>982</v>
      </c>
    </row>
    <row r="67" spans="1:5" ht="15" x14ac:dyDescent="0.2">
      <c r="A67" s="119" t="s">
        <v>31</v>
      </c>
      <c r="B67" s="119" t="s">
        <v>1673</v>
      </c>
      <c r="C67" s="119" t="s">
        <v>3433</v>
      </c>
      <c r="D67" s="147" t="s">
        <v>3362</v>
      </c>
      <c r="E67" s="121" t="s">
        <v>1671</v>
      </c>
    </row>
    <row r="68" spans="1:5" ht="15" x14ac:dyDescent="0.2">
      <c r="A68" s="119" t="s">
        <v>31</v>
      </c>
      <c r="B68" s="119" t="s">
        <v>758</v>
      </c>
      <c r="C68" s="119" t="s">
        <v>3434</v>
      </c>
      <c r="D68" s="147" t="s">
        <v>3362</v>
      </c>
      <c r="E68" s="121" t="s">
        <v>757</v>
      </c>
    </row>
    <row r="69" spans="1:5" ht="15" x14ac:dyDescent="0.2">
      <c r="A69" s="119" t="s">
        <v>31</v>
      </c>
      <c r="B69" s="119" t="s">
        <v>3435</v>
      </c>
      <c r="C69" s="119" t="s">
        <v>3436</v>
      </c>
      <c r="D69" s="147" t="s">
        <v>3362</v>
      </c>
      <c r="E69" s="121" t="s">
        <v>759</v>
      </c>
    </row>
    <row r="70" spans="1:5" ht="15" x14ac:dyDescent="0.2">
      <c r="A70" s="119" t="s">
        <v>31</v>
      </c>
      <c r="B70" s="119" t="s">
        <v>3442</v>
      </c>
      <c r="C70" s="119" t="s">
        <v>3443</v>
      </c>
      <c r="D70" s="147" t="s">
        <v>3397</v>
      </c>
      <c r="E70" s="121" t="s">
        <v>390</v>
      </c>
    </row>
    <row r="71" spans="1:5" ht="15" x14ac:dyDescent="0.2">
      <c r="A71" s="119" t="s">
        <v>31</v>
      </c>
      <c r="B71" s="119" t="s">
        <v>793</v>
      </c>
      <c r="C71" s="119" t="s">
        <v>3444</v>
      </c>
      <c r="D71" s="147" t="s">
        <v>3397</v>
      </c>
      <c r="E71" s="121" t="s">
        <v>227</v>
      </c>
    </row>
    <row r="72" spans="1:5" ht="15" x14ac:dyDescent="0.2">
      <c r="A72" s="119" t="s">
        <v>31</v>
      </c>
      <c r="B72" s="119" t="s">
        <v>3445</v>
      </c>
      <c r="C72" s="119" t="s">
        <v>3446</v>
      </c>
      <c r="D72" s="147" t="s">
        <v>3397</v>
      </c>
      <c r="E72" s="121" t="s">
        <v>601</v>
      </c>
    </row>
    <row r="73" spans="1:5" ht="15" x14ac:dyDescent="0.2">
      <c r="A73" s="119" t="s">
        <v>31</v>
      </c>
      <c r="B73" s="119" t="s">
        <v>937</v>
      </c>
      <c r="C73" s="119" t="s">
        <v>3447</v>
      </c>
      <c r="D73" s="147" t="s">
        <v>3397</v>
      </c>
      <c r="E73" s="121" t="s">
        <v>529</v>
      </c>
    </row>
    <row r="74" spans="1:5" ht="15" x14ac:dyDescent="0.2">
      <c r="A74" s="119" t="s">
        <v>31</v>
      </c>
      <c r="B74" s="119" t="s">
        <v>644</v>
      </c>
      <c r="C74" s="119" t="s">
        <v>3448</v>
      </c>
      <c r="D74" s="147" t="s">
        <v>3397</v>
      </c>
      <c r="E74" s="121" t="s">
        <v>382</v>
      </c>
    </row>
    <row r="75" spans="1:5" ht="15" x14ac:dyDescent="0.2">
      <c r="A75" s="119" t="s">
        <v>31</v>
      </c>
      <c r="B75" s="119" t="s">
        <v>801</v>
      </c>
      <c r="C75" s="119" t="s">
        <v>3449</v>
      </c>
      <c r="D75" s="147" t="s">
        <v>3397</v>
      </c>
      <c r="E75" s="121" t="s">
        <v>1633</v>
      </c>
    </row>
    <row r="76" spans="1:5" ht="15" x14ac:dyDescent="0.2">
      <c r="A76" s="119" t="s">
        <v>16</v>
      </c>
      <c r="B76" s="119" t="s">
        <v>626</v>
      </c>
      <c r="C76" s="119" t="s">
        <v>3450</v>
      </c>
      <c r="D76" s="147" t="s">
        <v>3397</v>
      </c>
      <c r="E76" s="121" t="s">
        <v>625</v>
      </c>
    </row>
    <row r="77" spans="1:5" ht="15" x14ac:dyDescent="0.2">
      <c r="A77" s="119" t="s">
        <v>16</v>
      </c>
      <c r="B77" s="119" t="s">
        <v>574</v>
      </c>
      <c r="C77" s="119" t="s">
        <v>3451</v>
      </c>
      <c r="D77" s="147" t="s">
        <v>3397</v>
      </c>
      <c r="E77" s="121" t="s">
        <v>3722</v>
      </c>
    </row>
    <row r="78" spans="1:5" ht="15" x14ac:dyDescent="0.2">
      <c r="A78" s="119" t="s">
        <v>16</v>
      </c>
      <c r="B78" s="119" t="s">
        <v>3452</v>
      </c>
      <c r="C78" s="119" t="s">
        <v>3453</v>
      </c>
      <c r="D78" s="147" t="s">
        <v>3397</v>
      </c>
      <c r="E78" s="121" t="s">
        <v>3040</v>
      </c>
    </row>
    <row r="79" spans="1:5" ht="15" x14ac:dyDescent="0.2">
      <c r="A79" s="119" t="s">
        <v>16</v>
      </c>
      <c r="B79" s="119" t="s">
        <v>561</v>
      </c>
      <c r="C79" s="119" t="s">
        <v>3454</v>
      </c>
      <c r="D79" s="147" t="s">
        <v>3397</v>
      </c>
      <c r="E79" s="121" t="s">
        <v>560</v>
      </c>
    </row>
    <row r="80" spans="1:5" ht="15" x14ac:dyDescent="0.2">
      <c r="A80" s="119" t="s">
        <v>16</v>
      </c>
      <c r="B80" s="119" t="s">
        <v>1066</v>
      </c>
      <c r="C80" s="119" t="s">
        <v>3820</v>
      </c>
      <c r="D80" s="147" t="s">
        <v>3397</v>
      </c>
      <c r="E80" s="121" t="s">
        <v>2985</v>
      </c>
    </row>
    <row r="81" spans="1:5" ht="15" x14ac:dyDescent="0.2">
      <c r="A81" s="119" t="s">
        <v>16</v>
      </c>
      <c r="B81" s="119" t="s">
        <v>3455</v>
      </c>
      <c r="C81" s="119" t="s">
        <v>3456</v>
      </c>
      <c r="D81" s="147" t="s">
        <v>3397</v>
      </c>
      <c r="E81" s="121" t="s">
        <v>1072</v>
      </c>
    </row>
    <row r="82" spans="1:5" ht="15" x14ac:dyDescent="0.2">
      <c r="A82" s="119" t="s">
        <v>16</v>
      </c>
      <c r="B82" s="119" t="s">
        <v>3457</v>
      </c>
      <c r="C82" s="119" t="s">
        <v>3458</v>
      </c>
      <c r="D82" s="147" t="s">
        <v>3397</v>
      </c>
      <c r="E82" s="121" t="s">
        <v>3026</v>
      </c>
    </row>
    <row r="83" spans="1:5" ht="15" x14ac:dyDescent="0.2">
      <c r="A83" s="119" t="s">
        <v>16</v>
      </c>
      <c r="B83" s="119" t="s">
        <v>637</v>
      </c>
      <c r="C83" s="119" t="s">
        <v>3821</v>
      </c>
      <c r="D83" s="147" t="s">
        <v>3397</v>
      </c>
      <c r="E83" s="121" t="s">
        <v>636</v>
      </c>
    </row>
    <row r="84" spans="1:5" ht="15" x14ac:dyDescent="0.2">
      <c r="A84" s="119" t="s">
        <v>16</v>
      </c>
      <c r="B84" s="119" t="s">
        <v>3822</v>
      </c>
      <c r="C84" s="119" t="s">
        <v>3459</v>
      </c>
      <c r="D84" s="147" t="s">
        <v>3397</v>
      </c>
      <c r="E84" s="121" t="s">
        <v>1075</v>
      </c>
    </row>
    <row r="85" spans="1:5" ht="15" x14ac:dyDescent="0.2">
      <c r="A85" s="119" t="s">
        <v>3460</v>
      </c>
      <c r="B85" s="119" t="s">
        <v>643</v>
      </c>
      <c r="C85" s="119" t="s">
        <v>3461</v>
      </c>
      <c r="D85" s="147" t="s">
        <v>3397</v>
      </c>
      <c r="E85" s="121" t="s">
        <v>3723</v>
      </c>
    </row>
    <row r="86" spans="1:5" ht="15" x14ac:dyDescent="0.2">
      <c r="A86" s="119" t="s">
        <v>3460</v>
      </c>
      <c r="B86" s="119" t="s">
        <v>679</v>
      </c>
      <c r="C86" s="119" t="s">
        <v>3462</v>
      </c>
      <c r="D86" s="147" t="s">
        <v>3397</v>
      </c>
      <c r="E86" s="121" t="s">
        <v>3724</v>
      </c>
    </row>
    <row r="87" spans="1:5" ht="15" x14ac:dyDescent="0.2">
      <c r="A87" s="119" t="s">
        <v>3460</v>
      </c>
      <c r="B87" s="119" t="s">
        <v>3463</v>
      </c>
      <c r="C87" s="119" t="s">
        <v>3464</v>
      </c>
      <c r="D87" s="147" t="s">
        <v>3397</v>
      </c>
      <c r="E87" s="121" t="s">
        <v>718</v>
      </c>
    </row>
    <row r="88" spans="1:5" ht="15" x14ac:dyDescent="0.2">
      <c r="A88" s="119" t="s">
        <v>3460</v>
      </c>
      <c r="B88" s="119" t="s">
        <v>3465</v>
      </c>
      <c r="C88" s="119" t="s">
        <v>3466</v>
      </c>
      <c r="D88" s="147" t="s">
        <v>3397</v>
      </c>
      <c r="E88" s="121" t="s">
        <v>3725</v>
      </c>
    </row>
    <row r="89" spans="1:5" ht="15" x14ac:dyDescent="0.2">
      <c r="A89" s="119" t="s">
        <v>3460</v>
      </c>
      <c r="B89" s="119" t="s">
        <v>3241</v>
      </c>
      <c r="C89" s="119" t="s">
        <v>3467</v>
      </c>
      <c r="D89" s="147" t="s">
        <v>3397</v>
      </c>
      <c r="E89" s="121" t="s">
        <v>3726</v>
      </c>
    </row>
    <row r="90" spans="1:5" ht="15" x14ac:dyDescent="0.2">
      <c r="A90" s="119" t="s">
        <v>3460</v>
      </c>
      <c r="B90" s="119" t="s">
        <v>3468</v>
      </c>
      <c r="C90" s="119" t="s">
        <v>3469</v>
      </c>
      <c r="D90" s="147" t="s">
        <v>3397</v>
      </c>
      <c r="E90" s="121" t="s">
        <v>716</v>
      </c>
    </row>
    <row r="91" spans="1:5" ht="15" x14ac:dyDescent="0.2">
      <c r="A91" s="119" t="s">
        <v>3460</v>
      </c>
      <c r="B91" s="119" t="s">
        <v>1344</v>
      </c>
      <c r="C91" s="119" t="s">
        <v>3823</v>
      </c>
      <c r="D91" s="147" t="s">
        <v>3397</v>
      </c>
      <c r="E91" s="121" t="s">
        <v>1342</v>
      </c>
    </row>
    <row r="92" spans="1:5" ht="15" x14ac:dyDescent="0.2">
      <c r="A92" s="119" t="s">
        <v>31</v>
      </c>
      <c r="B92" s="119" t="s">
        <v>727</v>
      </c>
      <c r="C92" s="119" t="s">
        <v>3470</v>
      </c>
      <c r="D92" s="147" t="s">
        <v>3402</v>
      </c>
      <c r="E92" s="121" t="s">
        <v>726</v>
      </c>
    </row>
    <row r="93" spans="1:5" ht="15" x14ac:dyDescent="0.2">
      <c r="A93" s="119" t="s">
        <v>31</v>
      </c>
      <c r="B93" s="119" t="s">
        <v>847</v>
      </c>
      <c r="C93" s="119" t="s">
        <v>3471</v>
      </c>
      <c r="D93" s="147" t="s">
        <v>3402</v>
      </c>
      <c r="E93" s="121" t="s">
        <v>458</v>
      </c>
    </row>
    <row r="94" spans="1:5" ht="15" x14ac:dyDescent="0.2">
      <c r="A94" s="119" t="s">
        <v>31</v>
      </c>
      <c r="B94" s="119" t="s">
        <v>3472</v>
      </c>
      <c r="C94" s="119" t="s">
        <v>3473</v>
      </c>
      <c r="D94" s="147" t="s">
        <v>3402</v>
      </c>
      <c r="E94" s="121" t="s">
        <v>345</v>
      </c>
    </row>
    <row r="95" spans="1:5" ht="15" x14ac:dyDescent="0.2">
      <c r="A95" s="119" t="s">
        <v>31</v>
      </c>
      <c r="B95" s="119" t="s">
        <v>3474</v>
      </c>
      <c r="C95" s="119" t="s">
        <v>3475</v>
      </c>
      <c r="D95" s="147" t="s">
        <v>3402</v>
      </c>
      <c r="E95" s="121" t="s">
        <v>149</v>
      </c>
    </row>
    <row r="96" spans="1:5" ht="15" x14ac:dyDescent="0.2">
      <c r="A96" s="119" t="s">
        <v>31</v>
      </c>
      <c r="B96" s="119" t="s">
        <v>674</v>
      </c>
      <c r="C96" s="119" t="s">
        <v>3476</v>
      </c>
      <c r="D96" s="147" t="s">
        <v>3402</v>
      </c>
      <c r="E96" s="121" t="s">
        <v>673</v>
      </c>
    </row>
    <row r="97" spans="1:5" ht="15" x14ac:dyDescent="0.2">
      <c r="A97" s="119" t="s">
        <v>31</v>
      </c>
      <c r="B97" s="119" t="s">
        <v>1523</v>
      </c>
      <c r="C97" s="119" t="s">
        <v>3477</v>
      </c>
      <c r="D97" s="147" t="s">
        <v>3402</v>
      </c>
      <c r="E97" s="121" t="s">
        <v>1521</v>
      </c>
    </row>
    <row r="98" spans="1:5" ht="15" x14ac:dyDescent="0.2">
      <c r="A98" s="119" t="s">
        <v>31</v>
      </c>
      <c r="B98" s="119" t="s">
        <v>947</v>
      </c>
      <c r="C98" s="119" t="s">
        <v>3478</v>
      </c>
      <c r="D98" s="147" t="s">
        <v>3402</v>
      </c>
      <c r="E98" s="121" t="s">
        <v>450</v>
      </c>
    </row>
    <row r="99" spans="1:5" ht="15" x14ac:dyDescent="0.2">
      <c r="A99" s="119" t="s">
        <v>31</v>
      </c>
      <c r="B99" s="119" t="s">
        <v>965</v>
      </c>
      <c r="C99" s="119" t="s">
        <v>3479</v>
      </c>
      <c r="D99" s="147" t="s">
        <v>3402</v>
      </c>
      <c r="E99" s="121" t="s">
        <v>964</v>
      </c>
    </row>
    <row r="100" spans="1:5" ht="15" x14ac:dyDescent="0.2">
      <c r="A100" s="119" t="s">
        <v>31</v>
      </c>
      <c r="B100" s="119" t="s">
        <v>3824</v>
      </c>
      <c r="C100" s="119" t="s">
        <v>3480</v>
      </c>
      <c r="D100" s="147" t="s">
        <v>3402</v>
      </c>
      <c r="E100" s="121" t="s">
        <v>755</v>
      </c>
    </row>
    <row r="101" spans="1:5" ht="15" x14ac:dyDescent="0.2">
      <c r="A101" s="119" t="s">
        <v>31</v>
      </c>
      <c r="B101" s="119" t="s">
        <v>3825</v>
      </c>
      <c r="C101" s="119" t="s">
        <v>3481</v>
      </c>
      <c r="D101" s="147" t="s">
        <v>3402</v>
      </c>
      <c r="E101" s="121" t="s">
        <v>3727</v>
      </c>
    </row>
    <row r="102" spans="1:5" ht="15" x14ac:dyDescent="0.2">
      <c r="A102" s="119" t="s">
        <v>31</v>
      </c>
      <c r="B102" s="119" t="s">
        <v>804</v>
      </c>
      <c r="C102" s="119" t="s">
        <v>3482</v>
      </c>
      <c r="D102" s="147" t="s">
        <v>3402</v>
      </c>
      <c r="E102" s="121" t="s">
        <v>803</v>
      </c>
    </row>
    <row r="103" spans="1:5" ht="15" x14ac:dyDescent="0.2">
      <c r="A103" s="119" t="s">
        <v>31</v>
      </c>
      <c r="B103" s="119" t="s">
        <v>3483</v>
      </c>
      <c r="C103" s="119" t="s">
        <v>3484</v>
      </c>
      <c r="D103" s="147" t="s">
        <v>3402</v>
      </c>
      <c r="E103" s="121" t="s">
        <v>794</v>
      </c>
    </row>
    <row r="104" spans="1:5" ht="15" x14ac:dyDescent="0.2">
      <c r="A104" s="119" t="s">
        <v>31</v>
      </c>
      <c r="B104" s="119" t="s">
        <v>3485</v>
      </c>
      <c r="C104" s="119" t="s">
        <v>3486</v>
      </c>
      <c r="D104" s="147" t="s">
        <v>3402</v>
      </c>
      <c r="E104" s="121" t="s">
        <v>798</v>
      </c>
    </row>
    <row r="105" spans="1:5" ht="15" x14ac:dyDescent="0.2">
      <c r="A105" s="119" t="s">
        <v>31</v>
      </c>
      <c r="B105" s="119" t="s">
        <v>633</v>
      </c>
      <c r="C105" s="119" t="s">
        <v>3487</v>
      </c>
      <c r="D105" s="147" t="s">
        <v>3402</v>
      </c>
      <c r="E105" s="121" t="s">
        <v>632</v>
      </c>
    </row>
    <row r="106" spans="1:5" ht="15" x14ac:dyDescent="0.2">
      <c r="A106" s="119" t="s">
        <v>31</v>
      </c>
      <c r="B106" s="119" t="s">
        <v>661</v>
      </c>
      <c r="C106" s="119" t="s">
        <v>3488</v>
      </c>
      <c r="D106" s="147" t="s">
        <v>3402</v>
      </c>
      <c r="E106" s="121" t="s">
        <v>434</v>
      </c>
    </row>
    <row r="107" spans="1:5" ht="15" x14ac:dyDescent="0.2">
      <c r="A107" s="119" t="s">
        <v>31</v>
      </c>
      <c r="B107" s="119" t="s">
        <v>3489</v>
      </c>
      <c r="C107" s="119" t="s">
        <v>3490</v>
      </c>
      <c r="D107" s="147" t="s">
        <v>3402</v>
      </c>
      <c r="E107" s="121" t="s">
        <v>809</v>
      </c>
    </row>
    <row r="108" spans="1:5" ht="15" x14ac:dyDescent="0.2">
      <c r="A108" s="119" t="s">
        <v>31</v>
      </c>
      <c r="B108" s="119" t="s">
        <v>3491</v>
      </c>
      <c r="C108" s="119" t="s">
        <v>3492</v>
      </c>
      <c r="D108" s="147" t="s">
        <v>3402</v>
      </c>
      <c r="E108" s="121" t="s">
        <v>930</v>
      </c>
    </row>
    <row r="109" spans="1:5" ht="15" x14ac:dyDescent="0.2">
      <c r="A109" s="119" t="s">
        <v>31</v>
      </c>
      <c r="B109" s="119" t="s">
        <v>792</v>
      </c>
      <c r="C109" s="119" t="s">
        <v>3493</v>
      </c>
      <c r="D109" s="147" t="s">
        <v>3402</v>
      </c>
      <c r="E109" s="121" t="s">
        <v>181</v>
      </c>
    </row>
    <row r="110" spans="1:5" ht="15" x14ac:dyDescent="0.2">
      <c r="A110" s="119" t="s">
        <v>31</v>
      </c>
      <c r="B110" s="119" t="s">
        <v>3494</v>
      </c>
      <c r="C110" s="119" t="s">
        <v>3495</v>
      </c>
      <c r="D110" s="147" t="s">
        <v>3402</v>
      </c>
      <c r="E110" s="121" t="s">
        <v>3728</v>
      </c>
    </row>
    <row r="111" spans="1:5" ht="15" x14ac:dyDescent="0.2">
      <c r="A111" s="119" t="s">
        <v>31</v>
      </c>
      <c r="B111" s="119" t="s">
        <v>3496</v>
      </c>
      <c r="C111" s="119" t="s">
        <v>3497</v>
      </c>
      <c r="D111" s="147" t="s">
        <v>3402</v>
      </c>
      <c r="E111" s="121" t="s">
        <v>3729</v>
      </c>
    </row>
    <row r="112" spans="1:5" ht="15" x14ac:dyDescent="0.2">
      <c r="A112" s="119" t="s">
        <v>31</v>
      </c>
      <c r="B112" s="119" t="s">
        <v>3498</v>
      </c>
      <c r="C112" s="119" t="s">
        <v>3499</v>
      </c>
      <c r="D112" s="147" t="s">
        <v>3402</v>
      </c>
      <c r="E112" s="121" t="s">
        <v>3730</v>
      </c>
    </row>
    <row r="113" spans="1:5" ht="15" x14ac:dyDescent="0.2">
      <c r="A113" s="119" t="s">
        <v>31</v>
      </c>
      <c r="B113" s="119" t="s">
        <v>634</v>
      </c>
      <c r="C113" s="119" t="s">
        <v>3500</v>
      </c>
      <c r="D113" s="147" t="s">
        <v>3402</v>
      </c>
      <c r="E113" s="121" t="s">
        <v>321</v>
      </c>
    </row>
    <row r="114" spans="1:5" ht="15" x14ac:dyDescent="0.2">
      <c r="A114" s="119" t="s">
        <v>31</v>
      </c>
      <c r="B114" s="119" t="s">
        <v>668</v>
      </c>
      <c r="C114" s="119" t="s">
        <v>3501</v>
      </c>
      <c r="D114" s="147" t="s">
        <v>3402</v>
      </c>
      <c r="E114" s="121" t="s">
        <v>462</v>
      </c>
    </row>
    <row r="115" spans="1:5" ht="15" x14ac:dyDescent="0.2">
      <c r="A115" s="119" t="s">
        <v>31</v>
      </c>
      <c r="B115" s="119" t="s">
        <v>682</v>
      </c>
      <c r="C115" s="119" t="s">
        <v>3502</v>
      </c>
      <c r="D115" s="147" t="s">
        <v>3402</v>
      </c>
      <c r="E115" s="121" t="s">
        <v>681</v>
      </c>
    </row>
    <row r="116" spans="1:5" ht="15" x14ac:dyDescent="0.2">
      <c r="A116" s="119" t="s">
        <v>31</v>
      </c>
      <c r="B116" s="119" t="s">
        <v>639</v>
      </c>
      <c r="C116" s="119" t="s">
        <v>3503</v>
      </c>
      <c r="D116" s="147" t="s">
        <v>3402</v>
      </c>
      <c r="E116" s="121" t="s">
        <v>638</v>
      </c>
    </row>
    <row r="117" spans="1:5" ht="15" x14ac:dyDescent="0.2">
      <c r="A117" s="119" t="s">
        <v>31</v>
      </c>
      <c r="B117" s="119" t="s">
        <v>939</v>
      </c>
      <c r="C117" s="119" t="s">
        <v>3504</v>
      </c>
      <c r="D117" s="147" t="s">
        <v>3402</v>
      </c>
      <c r="E117" s="121" t="s">
        <v>938</v>
      </c>
    </row>
    <row r="118" spans="1:5" ht="15" x14ac:dyDescent="0.2">
      <c r="A118" s="119" t="s">
        <v>31</v>
      </c>
      <c r="B118" s="119" t="s">
        <v>3505</v>
      </c>
      <c r="C118" s="119" t="s">
        <v>3506</v>
      </c>
      <c r="D118" s="147" t="s">
        <v>3402</v>
      </c>
      <c r="E118" s="148" t="s">
        <v>1470</v>
      </c>
    </row>
    <row r="119" spans="1:5" ht="15" x14ac:dyDescent="0.2">
      <c r="A119" s="119" t="s">
        <v>31</v>
      </c>
      <c r="B119" s="119" t="s">
        <v>3507</v>
      </c>
      <c r="C119" s="119" t="s">
        <v>3508</v>
      </c>
      <c r="D119" s="147" t="s">
        <v>3402</v>
      </c>
      <c r="E119" s="148" t="s">
        <v>516</v>
      </c>
    </row>
    <row r="120" spans="1:5" ht="15" x14ac:dyDescent="0.2">
      <c r="A120" s="119" t="s">
        <v>31</v>
      </c>
      <c r="B120" s="119" t="s">
        <v>957</v>
      </c>
      <c r="C120" s="119" t="s">
        <v>3509</v>
      </c>
      <c r="D120" s="147" t="s">
        <v>3402</v>
      </c>
      <c r="E120" s="148" t="s">
        <v>956</v>
      </c>
    </row>
    <row r="121" spans="1:5" ht="15" x14ac:dyDescent="0.2">
      <c r="A121" s="119" t="s">
        <v>31</v>
      </c>
      <c r="B121" s="119" t="s">
        <v>959</v>
      </c>
      <c r="C121" s="119" t="s">
        <v>3510</v>
      </c>
      <c r="D121" s="147" t="s">
        <v>3402</v>
      </c>
      <c r="E121" s="148" t="s">
        <v>958</v>
      </c>
    </row>
    <row r="122" spans="1:5" ht="15" x14ac:dyDescent="0.2">
      <c r="A122" s="119" t="s">
        <v>31</v>
      </c>
      <c r="B122" s="119" t="s">
        <v>966</v>
      </c>
      <c r="C122" s="119" t="s">
        <v>3511</v>
      </c>
      <c r="D122" s="147" t="s">
        <v>3402</v>
      </c>
      <c r="E122" s="148" t="s">
        <v>1697</v>
      </c>
    </row>
    <row r="123" spans="1:5" ht="15" x14ac:dyDescent="0.2">
      <c r="A123" s="119" t="s">
        <v>31</v>
      </c>
      <c r="B123" s="119" t="s">
        <v>968</v>
      </c>
      <c r="C123" s="119" t="s">
        <v>3512</v>
      </c>
      <c r="D123" s="147" t="s">
        <v>3402</v>
      </c>
      <c r="E123" s="148" t="s">
        <v>967</v>
      </c>
    </row>
    <row r="124" spans="1:5" ht="15" x14ac:dyDescent="0.2">
      <c r="A124" s="119" t="s">
        <v>31</v>
      </c>
      <c r="B124" s="119" t="s">
        <v>629</v>
      </c>
      <c r="C124" s="119" t="s">
        <v>3513</v>
      </c>
      <c r="D124" s="147" t="s">
        <v>3402</v>
      </c>
      <c r="E124" s="148" t="s">
        <v>628</v>
      </c>
    </row>
    <row r="125" spans="1:5" ht="15" x14ac:dyDescent="0.2">
      <c r="A125" s="119" t="s">
        <v>31</v>
      </c>
      <c r="B125" s="119" t="s">
        <v>568</v>
      </c>
      <c r="C125" s="119" t="s">
        <v>3514</v>
      </c>
      <c r="D125" s="147" t="s">
        <v>3402</v>
      </c>
      <c r="E125" s="148" t="s">
        <v>567</v>
      </c>
    </row>
    <row r="126" spans="1:5" ht="15" x14ac:dyDescent="0.2">
      <c r="A126" s="119" t="s">
        <v>31</v>
      </c>
      <c r="B126" s="119" t="s">
        <v>3515</v>
      </c>
      <c r="C126" s="119" t="s">
        <v>3516</v>
      </c>
      <c r="D126" s="147" t="s">
        <v>3402</v>
      </c>
      <c r="E126" s="148" t="s">
        <v>233</v>
      </c>
    </row>
    <row r="127" spans="1:5" ht="15" x14ac:dyDescent="0.2">
      <c r="A127" s="119" t="s">
        <v>31</v>
      </c>
      <c r="B127" s="119" t="s">
        <v>646</v>
      </c>
      <c r="C127" s="119" t="s">
        <v>3517</v>
      </c>
      <c r="D127" s="147" t="s">
        <v>3402</v>
      </c>
      <c r="E127" s="148" t="s">
        <v>395</v>
      </c>
    </row>
    <row r="128" spans="1:5" ht="15" x14ac:dyDescent="0.2">
      <c r="A128" s="119" t="s">
        <v>31</v>
      </c>
      <c r="B128" s="119" t="s">
        <v>1019</v>
      </c>
      <c r="C128" s="119" t="s">
        <v>3518</v>
      </c>
      <c r="D128" s="147" t="s">
        <v>3402</v>
      </c>
      <c r="E128" s="148" t="s">
        <v>1018</v>
      </c>
    </row>
    <row r="129" spans="1:5" ht="15" x14ac:dyDescent="0.2">
      <c r="A129" s="119" t="s">
        <v>31</v>
      </c>
      <c r="B129" s="119" t="s">
        <v>1023</v>
      </c>
      <c r="C129" s="119" t="s">
        <v>3519</v>
      </c>
      <c r="D129" s="147" t="s">
        <v>3402</v>
      </c>
      <c r="E129" s="148" t="s">
        <v>3809</v>
      </c>
    </row>
    <row r="130" spans="1:5" ht="15" x14ac:dyDescent="0.2">
      <c r="A130" s="119" t="s">
        <v>16</v>
      </c>
      <c r="B130" s="119" t="s">
        <v>3520</v>
      </c>
      <c r="C130" s="119" t="s">
        <v>3521</v>
      </c>
      <c r="D130" s="147" t="s">
        <v>3402</v>
      </c>
      <c r="E130" s="148" t="s">
        <v>3810</v>
      </c>
    </row>
    <row r="131" spans="1:5" ht="15" x14ac:dyDescent="0.2">
      <c r="A131" s="119" t="s">
        <v>16</v>
      </c>
      <c r="B131" s="119" t="s">
        <v>3826</v>
      </c>
      <c r="C131" s="119" t="s">
        <v>3522</v>
      </c>
      <c r="D131" s="147" t="s">
        <v>3402</v>
      </c>
      <c r="E131" s="148" t="s">
        <v>3811</v>
      </c>
    </row>
    <row r="132" spans="1:5" ht="15" x14ac:dyDescent="0.2">
      <c r="A132" s="119" t="s">
        <v>16</v>
      </c>
      <c r="B132" s="119" t="s">
        <v>3523</v>
      </c>
      <c r="C132" s="119" t="s">
        <v>3524</v>
      </c>
      <c r="D132" s="147" t="s">
        <v>3402</v>
      </c>
      <c r="E132" s="148" t="s">
        <v>519</v>
      </c>
    </row>
    <row r="133" spans="1:5" ht="15" x14ac:dyDescent="0.2">
      <c r="A133" s="119" t="s">
        <v>95</v>
      </c>
      <c r="B133" s="119" t="s">
        <v>706</v>
      </c>
      <c r="C133" s="119" t="s">
        <v>3525</v>
      </c>
      <c r="D133" s="147" t="s">
        <v>3402</v>
      </c>
      <c r="E133" s="148" t="s">
        <v>3812</v>
      </c>
    </row>
    <row r="134" spans="1:5" ht="15" x14ac:dyDescent="0.2">
      <c r="A134" s="119" t="s">
        <v>71</v>
      </c>
      <c r="B134" s="119" t="s">
        <v>1169</v>
      </c>
      <c r="C134" s="119" t="s">
        <v>3526</v>
      </c>
      <c r="D134" s="147" t="s">
        <v>3402</v>
      </c>
      <c r="E134" s="148" t="s">
        <v>1168</v>
      </c>
    </row>
    <row r="186" ht="14.25" customHeight="1" x14ac:dyDescent="0.2"/>
    <row r="413" ht="18" customHeight="1" x14ac:dyDescent="0.2"/>
    <row r="430" ht="66" customHeight="1" x14ac:dyDescent="0.2"/>
  </sheetData>
  <sheetProtection selectLockedCells="1" selectUnlockedCells="1"/>
  <autoFilter ref="A1:E134" xr:uid="{8D2CD1B6-CF90-4B39-BED7-96D4077175E9}"/>
  <pageMargins left="0.74791666666666667" right="0.74791666666666667" top="0.98402777777777772" bottom="0.98402777777777772" header="0.51180555555555551" footer="0.51180555555555551"/>
  <pageSetup paperSize="9" scale="96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55DC-FFED-4675-8AC3-1CDB2FA1FC13}">
  <dimension ref="A1:F107"/>
  <sheetViews>
    <sheetView workbookViewId="0">
      <pane ySplit="1" topLeftCell="A2" activePane="bottomLeft" state="frozen"/>
      <selection activeCell="B1" sqref="B1"/>
      <selection pane="bottomLeft" activeCell="A53" sqref="A53:A70"/>
    </sheetView>
  </sheetViews>
  <sheetFormatPr baseColWidth="10" defaultColWidth="9.140625" defaultRowHeight="12.75" x14ac:dyDescent="0.2"/>
  <cols>
    <col min="1" max="1" width="20.5703125" style="9" bestFit="1" customWidth="1"/>
    <col min="2" max="2" width="44.5703125" style="9" bestFit="1" customWidth="1"/>
    <col min="3" max="3" width="34.5703125" style="9" bestFit="1" customWidth="1"/>
    <col min="4" max="4" width="33.5703125" style="9" bestFit="1" customWidth="1"/>
    <col min="5" max="16384" width="9.140625" style="9"/>
  </cols>
  <sheetData>
    <row r="1" spans="1:6" ht="15" x14ac:dyDescent="0.25">
      <c r="A1" s="118" t="s">
        <v>540</v>
      </c>
      <c r="B1" s="118" t="s">
        <v>539</v>
      </c>
      <c r="C1" s="118" t="s">
        <v>3352</v>
      </c>
      <c r="D1" s="120" t="s">
        <v>539</v>
      </c>
      <c r="F1"/>
    </row>
    <row r="2" spans="1:6" ht="15" x14ac:dyDescent="0.25">
      <c r="A2" s="119"/>
      <c r="B2" s="119" t="s">
        <v>3527</v>
      </c>
      <c r="C2" t="s">
        <v>1300</v>
      </c>
      <c r="D2" s="121" t="s">
        <v>3731</v>
      </c>
      <c r="F2"/>
    </row>
    <row r="3" spans="1:6" ht="15" x14ac:dyDescent="0.25">
      <c r="A3" s="119"/>
      <c r="B3" s="119" t="s">
        <v>3528</v>
      </c>
      <c r="C3" t="s">
        <v>1300</v>
      </c>
      <c r="D3" s="121" t="s">
        <v>3732</v>
      </c>
      <c r="F3"/>
    </row>
    <row r="4" spans="1:6" ht="15" x14ac:dyDescent="0.25">
      <c r="A4" s="119"/>
      <c r="B4" s="119" t="s">
        <v>3529</v>
      </c>
      <c r="C4" t="s">
        <v>1300</v>
      </c>
      <c r="D4" s="121" t="s">
        <v>3733</v>
      </c>
      <c r="F4"/>
    </row>
    <row r="5" spans="1:6" ht="15" x14ac:dyDescent="0.25">
      <c r="A5" s="119"/>
      <c r="B5" s="119" t="s">
        <v>3530</v>
      </c>
      <c r="C5" t="s">
        <v>1300</v>
      </c>
      <c r="D5" s="121" t="s">
        <v>3734</v>
      </c>
    </row>
    <row r="6" spans="1:6" ht="15" x14ac:dyDescent="0.25">
      <c r="A6" s="119" t="s">
        <v>3531</v>
      </c>
      <c r="B6" s="119" t="s">
        <v>3532</v>
      </c>
      <c r="C6" t="s">
        <v>3362</v>
      </c>
      <c r="D6" s="121" t="s">
        <v>3735</v>
      </c>
    </row>
    <row r="7" spans="1:6" ht="15" x14ac:dyDescent="0.25">
      <c r="A7" s="119" t="s">
        <v>3533</v>
      </c>
      <c r="B7" s="119" t="s">
        <v>3534</v>
      </c>
      <c r="C7" t="s">
        <v>3362</v>
      </c>
      <c r="D7" s="121" t="s">
        <v>3736</v>
      </c>
    </row>
    <row r="8" spans="1:6" ht="15" x14ac:dyDescent="0.25">
      <c r="A8" s="119" t="s">
        <v>3535</v>
      </c>
      <c r="B8" s="119" t="s">
        <v>3536</v>
      </c>
      <c r="C8" t="s">
        <v>3362</v>
      </c>
      <c r="D8" s="121" t="s">
        <v>3737</v>
      </c>
    </row>
    <row r="9" spans="1:6" ht="15" x14ac:dyDescent="0.25">
      <c r="A9" s="119" t="s">
        <v>3537</v>
      </c>
      <c r="B9" s="119" t="s">
        <v>3538</v>
      </c>
      <c r="C9" t="s">
        <v>3362</v>
      </c>
      <c r="D9" s="121" t="s">
        <v>3738</v>
      </c>
    </row>
    <row r="10" spans="1:6" ht="15" x14ac:dyDescent="0.25">
      <c r="A10" s="119" t="s">
        <v>3539</v>
      </c>
      <c r="B10" s="119" t="s">
        <v>3540</v>
      </c>
      <c r="C10" t="s">
        <v>3362</v>
      </c>
      <c r="D10" s="121" t="s">
        <v>703</v>
      </c>
    </row>
    <row r="11" spans="1:6" ht="15" x14ac:dyDescent="0.25">
      <c r="A11" s="119" t="s">
        <v>3541</v>
      </c>
      <c r="B11" s="119" t="s">
        <v>3542</v>
      </c>
      <c r="C11" t="s">
        <v>3362</v>
      </c>
      <c r="D11" s="121" t="s">
        <v>1225</v>
      </c>
    </row>
    <row r="12" spans="1:6" ht="15" x14ac:dyDescent="0.25">
      <c r="A12" s="119" t="s">
        <v>3543</v>
      </c>
      <c r="B12" s="119" t="s">
        <v>3544</v>
      </c>
      <c r="C12" t="s">
        <v>3362</v>
      </c>
      <c r="D12" s="121" t="s">
        <v>1233</v>
      </c>
    </row>
    <row r="13" spans="1:6" ht="15" x14ac:dyDescent="0.25">
      <c r="A13" s="119" t="s">
        <v>3545</v>
      </c>
      <c r="B13" s="119" t="s">
        <v>3546</v>
      </c>
      <c r="C13" t="s">
        <v>3362</v>
      </c>
      <c r="D13" s="121" t="s">
        <v>3739</v>
      </c>
    </row>
    <row r="14" spans="1:6" ht="15" x14ac:dyDescent="0.25">
      <c r="A14" s="119" t="s">
        <v>3547</v>
      </c>
      <c r="B14" s="119" t="s">
        <v>3548</v>
      </c>
      <c r="C14" t="s">
        <v>3362</v>
      </c>
      <c r="D14" s="121" t="s">
        <v>1270</v>
      </c>
    </row>
    <row r="15" spans="1:6" ht="15" x14ac:dyDescent="0.25">
      <c r="A15" s="119" t="s">
        <v>3549</v>
      </c>
      <c r="B15" s="119" t="s">
        <v>3550</v>
      </c>
      <c r="C15" t="s">
        <v>3362</v>
      </c>
      <c r="D15" s="121" t="s">
        <v>3740</v>
      </c>
    </row>
    <row r="16" spans="1:6" ht="15" x14ac:dyDescent="0.25">
      <c r="A16" s="119" t="s">
        <v>3551</v>
      </c>
      <c r="B16" s="119" t="s">
        <v>3552</v>
      </c>
      <c r="C16" t="s">
        <v>3362</v>
      </c>
      <c r="D16" s="121" t="s">
        <v>3741</v>
      </c>
    </row>
    <row r="17" spans="1:4" ht="15" x14ac:dyDescent="0.25">
      <c r="A17" s="119" t="s">
        <v>3553</v>
      </c>
      <c r="B17" s="119" t="s">
        <v>3554</v>
      </c>
      <c r="C17" t="s">
        <v>3362</v>
      </c>
      <c r="D17" s="121" t="s">
        <v>3742</v>
      </c>
    </row>
    <row r="18" spans="1:4" ht="15" x14ac:dyDescent="0.25">
      <c r="A18" s="119" t="s">
        <v>3555</v>
      </c>
      <c r="B18" s="119" t="s">
        <v>3556</v>
      </c>
      <c r="C18" t="s">
        <v>3362</v>
      </c>
      <c r="D18" s="121" t="s">
        <v>3743</v>
      </c>
    </row>
    <row r="19" spans="1:4" ht="15" x14ac:dyDescent="0.25">
      <c r="A19" s="119" t="s">
        <v>3555</v>
      </c>
      <c r="B19" s="119" t="s">
        <v>3557</v>
      </c>
      <c r="C19" t="s">
        <v>3362</v>
      </c>
      <c r="D19" s="121" t="s">
        <v>1264</v>
      </c>
    </row>
    <row r="20" spans="1:4" ht="15" x14ac:dyDescent="0.25">
      <c r="A20" s="119"/>
      <c r="B20" s="119" t="s">
        <v>3558</v>
      </c>
      <c r="C20" t="s">
        <v>3362</v>
      </c>
      <c r="D20" s="121" t="s">
        <v>3744</v>
      </c>
    </row>
    <row r="21" spans="1:4" ht="15" x14ac:dyDescent="0.25">
      <c r="A21" s="119"/>
      <c r="B21" s="119" t="s">
        <v>3559</v>
      </c>
      <c r="C21" t="s">
        <v>3362</v>
      </c>
      <c r="D21" s="121" t="s">
        <v>3745</v>
      </c>
    </row>
    <row r="22" spans="1:4" ht="15" x14ac:dyDescent="0.25">
      <c r="A22" s="119"/>
      <c r="B22" s="119" t="s">
        <v>3560</v>
      </c>
      <c r="C22" t="s">
        <v>3362</v>
      </c>
      <c r="D22" s="121" t="s">
        <v>3746</v>
      </c>
    </row>
    <row r="23" spans="1:4" ht="15" x14ac:dyDescent="0.25">
      <c r="A23" s="119"/>
      <c r="B23" s="119" t="s">
        <v>3561</v>
      </c>
      <c r="C23" t="s">
        <v>3362</v>
      </c>
      <c r="D23" s="121" t="s">
        <v>3747</v>
      </c>
    </row>
    <row r="24" spans="1:4" ht="15" x14ac:dyDescent="0.25">
      <c r="A24" s="119"/>
      <c r="B24" s="119" t="s">
        <v>3562</v>
      </c>
      <c r="C24" t="s">
        <v>3362</v>
      </c>
      <c r="D24" s="121" t="s">
        <v>3748</v>
      </c>
    </row>
    <row r="25" spans="1:4" ht="15" x14ac:dyDescent="0.25">
      <c r="A25" s="119"/>
      <c r="B25" s="119" t="s">
        <v>3563</v>
      </c>
      <c r="C25" t="s">
        <v>3362</v>
      </c>
      <c r="D25" s="121" t="s">
        <v>3749</v>
      </c>
    </row>
    <row r="26" spans="1:4" ht="15" x14ac:dyDescent="0.25">
      <c r="A26" s="119"/>
      <c r="B26" s="119" t="s">
        <v>3564</v>
      </c>
      <c r="C26" t="s">
        <v>3362</v>
      </c>
      <c r="D26" s="121" t="s">
        <v>3750</v>
      </c>
    </row>
    <row r="27" spans="1:4" ht="15" x14ac:dyDescent="0.25">
      <c r="A27" s="119"/>
      <c r="B27" s="119" t="s">
        <v>3565</v>
      </c>
      <c r="C27" t="s">
        <v>3362</v>
      </c>
      <c r="D27" s="121" t="s">
        <v>1211</v>
      </c>
    </row>
    <row r="28" spans="1:4" ht="15" x14ac:dyDescent="0.25">
      <c r="A28" s="119"/>
      <c r="B28" s="119" t="s">
        <v>3566</v>
      </c>
      <c r="C28" t="s">
        <v>3362</v>
      </c>
      <c r="D28" s="121" t="s">
        <v>3751</v>
      </c>
    </row>
    <row r="29" spans="1:4" ht="15" x14ac:dyDescent="0.25">
      <c r="A29" s="119"/>
      <c r="B29" s="119" t="s">
        <v>3567</v>
      </c>
      <c r="C29" t="s">
        <v>3362</v>
      </c>
      <c r="D29" s="121" t="s">
        <v>1243</v>
      </c>
    </row>
    <row r="30" spans="1:4" ht="15" x14ac:dyDescent="0.25">
      <c r="A30" s="119"/>
      <c r="B30" s="119" t="s">
        <v>3568</v>
      </c>
      <c r="C30" t="s">
        <v>3362</v>
      </c>
      <c r="D30" s="121" t="s">
        <v>3752</v>
      </c>
    </row>
    <row r="31" spans="1:4" ht="15" x14ac:dyDescent="0.25">
      <c r="A31" s="119"/>
      <c r="B31" s="119" t="s">
        <v>3569</v>
      </c>
      <c r="C31" t="s">
        <v>3362</v>
      </c>
      <c r="D31" s="121" t="s">
        <v>3753</v>
      </c>
    </row>
    <row r="32" spans="1:4" ht="15" x14ac:dyDescent="0.25">
      <c r="A32" s="119"/>
      <c r="B32" s="119" t="s">
        <v>3570</v>
      </c>
      <c r="C32" t="s">
        <v>3362</v>
      </c>
      <c r="D32" s="121" t="s">
        <v>3754</v>
      </c>
    </row>
    <row r="33" spans="1:4" ht="15" x14ac:dyDescent="0.25">
      <c r="A33" s="119"/>
      <c r="B33" s="119" t="s">
        <v>3571</v>
      </c>
      <c r="C33" t="s">
        <v>3362</v>
      </c>
      <c r="D33" s="121" t="s">
        <v>3755</v>
      </c>
    </row>
    <row r="34" spans="1:4" ht="15" x14ac:dyDescent="0.25">
      <c r="A34" s="9" t="s">
        <v>3601</v>
      </c>
      <c r="B34" s="9" t="s">
        <v>3602</v>
      </c>
      <c r="C34" t="s">
        <v>3397</v>
      </c>
      <c r="D34" s="121" t="s">
        <v>3780</v>
      </c>
    </row>
    <row r="35" spans="1:4" ht="15" x14ac:dyDescent="0.25">
      <c r="A35" s="9" t="s">
        <v>3603</v>
      </c>
      <c r="B35" s="9" t="s">
        <v>3604</v>
      </c>
      <c r="C35" t="s">
        <v>3397</v>
      </c>
      <c r="D35" s="121" t="s">
        <v>2112</v>
      </c>
    </row>
    <row r="36" spans="1:4" ht="15" x14ac:dyDescent="0.25">
      <c r="B36" s="9" t="s">
        <v>3605</v>
      </c>
      <c r="C36" t="s">
        <v>3397</v>
      </c>
      <c r="D36" s="121" t="s">
        <v>3781</v>
      </c>
    </row>
    <row r="37" spans="1:4" ht="15" x14ac:dyDescent="0.25">
      <c r="B37" s="9" t="s">
        <v>3606</v>
      </c>
      <c r="C37" t="s">
        <v>3397</v>
      </c>
      <c r="D37" s="121" t="s">
        <v>3782</v>
      </c>
    </row>
    <row r="38" spans="1:4" ht="15" x14ac:dyDescent="0.25">
      <c r="B38" s="9" t="s">
        <v>3607</v>
      </c>
      <c r="C38" t="s">
        <v>3397</v>
      </c>
      <c r="D38" s="121" t="s">
        <v>698</v>
      </c>
    </row>
    <row r="39" spans="1:4" ht="15" x14ac:dyDescent="0.25">
      <c r="B39" s="9" t="s">
        <v>3608</v>
      </c>
      <c r="C39" t="s">
        <v>3397</v>
      </c>
      <c r="D39" s="121" t="s">
        <v>3783</v>
      </c>
    </row>
    <row r="40" spans="1:4" ht="15" x14ac:dyDescent="0.25">
      <c r="B40" s="9" t="s">
        <v>3609</v>
      </c>
      <c r="C40" t="s">
        <v>3397</v>
      </c>
      <c r="D40" s="121" t="s">
        <v>3784</v>
      </c>
    </row>
    <row r="41" spans="1:4" ht="15" x14ac:dyDescent="0.25">
      <c r="B41" s="9" t="s">
        <v>3610</v>
      </c>
      <c r="C41" t="s">
        <v>3397</v>
      </c>
      <c r="D41" s="121" t="s">
        <v>3785</v>
      </c>
    </row>
    <row r="42" spans="1:4" ht="15" x14ac:dyDescent="0.25">
      <c r="B42" s="9" t="s">
        <v>3611</v>
      </c>
      <c r="C42" t="s">
        <v>3397</v>
      </c>
      <c r="D42" s="121" t="s">
        <v>3786</v>
      </c>
    </row>
    <row r="43" spans="1:4" ht="15" x14ac:dyDescent="0.25">
      <c r="B43" s="9" t="s">
        <v>3612</v>
      </c>
      <c r="C43" t="s">
        <v>3397</v>
      </c>
      <c r="D43" s="121" t="s">
        <v>3787</v>
      </c>
    </row>
    <row r="44" spans="1:4" ht="15" x14ac:dyDescent="0.25">
      <c r="A44" s="9" t="s">
        <v>3613</v>
      </c>
      <c r="B44" s="9" t="s">
        <v>3614</v>
      </c>
      <c r="C44" t="s">
        <v>3397</v>
      </c>
      <c r="D44" s="121" t="s">
        <v>3788</v>
      </c>
    </row>
    <row r="45" spans="1:4" ht="15" x14ac:dyDescent="0.25">
      <c r="A45" s="119" t="s">
        <v>3572</v>
      </c>
      <c r="B45" s="119" t="s">
        <v>3573</v>
      </c>
      <c r="C45" t="s">
        <v>3397</v>
      </c>
      <c r="D45" s="121" t="s">
        <v>3756</v>
      </c>
    </row>
    <row r="46" spans="1:4" ht="15" x14ac:dyDescent="0.25">
      <c r="A46" s="119"/>
      <c r="B46" s="119" t="s">
        <v>3574</v>
      </c>
      <c r="C46" t="s">
        <v>3397</v>
      </c>
      <c r="D46" s="121" t="s">
        <v>3757</v>
      </c>
    </row>
    <row r="47" spans="1:4" ht="15" x14ac:dyDescent="0.25">
      <c r="A47" s="119" t="s">
        <v>3575</v>
      </c>
      <c r="B47" s="119" t="s">
        <v>3576</v>
      </c>
      <c r="C47" t="s">
        <v>3397</v>
      </c>
      <c r="D47" s="121" t="s">
        <v>3758</v>
      </c>
    </row>
    <row r="48" spans="1:4" ht="15" x14ac:dyDescent="0.25">
      <c r="A48" s="119"/>
      <c r="B48" s="119" t="s">
        <v>3577</v>
      </c>
      <c r="C48" t="s">
        <v>3397</v>
      </c>
      <c r="D48" s="121" t="s">
        <v>3759</v>
      </c>
    </row>
    <row r="49" spans="1:4" ht="15" x14ac:dyDescent="0.25">
      <c r="A49" s="119"/>
      <c r="B49" s="119" t="s">
        <v>3578</v>
      </c>
      <c r="C49" t="s">
        <v>3397</v>
      </c>
      <c r="D49" s="121" t="s">
        <v>3760</v>
      </c>
    </row>
    <row r="50" spans="1:4" ht="15" x14ac:dyDescent="0.25">
      <c r="A50" s="119"/>
      <c r="B50" s="119" t="s">
        <v>3579</v>
      </c>
      <c r="C50" t="s">
        <v>3397</v>
      </c>
      <c r="D50" s="121" t="s">
        <v>3761</v>
      </c>
    </row>
    <row r="51" spans="1:4" ht="15" x14ac:dyDescent="0.25">
      <c r="A51" s="119"/>
      <c r="B51" s="119" t="s">
        <v>3580</v>
      </c>
      <c r="C51" t="s">
        <v>3397</v>
      </c>
      <c r="D51" s="121" t="s">
        <v>3762</v>
      </c>
    </row>
    <row r="52" spans="1:4" ht="15" x14ac:dyDescent="0.25">
      <c r="A52" s="119" t="s">
        <v>3581</v>
      </c>
      <c r="B52" s="119" t="s">
        <v>3582</v>
      </c>
      <c r="C52" t="s">
        <v>3397</v>
      </c>
      <c r="D52" s="121" t="s">
        <v>3763</v>
      </c>
    </row>
    <row r="53" spans="1:4" ht="15" x14ac:dyDescent="0.25">
      <c r="A53" s="119"/>
      <c r="B53" s="119" t="s">
        <v>3583</v>
      </c>
      <c r="C53" t="s">
        <v>3397</v>
      </c>
      <c r="D53" s="121" t="s">
        <v>3764</v>
      </c>
    </row>
    <row r="54" spans="1:4" ht="15" x14ac:dyDescent="0.25">
      <c r="A54" s="119"/>
      <c r="B54" s="119" t="s">
        <v>3584</v>
      </c>
      <c r="C54" t="s">
        <v>3397</v>
      </c>
      <c r="D54" s="121" t="s">
        <v>3765</v>
      </c>
    </row>
    <row r="55" spans="1:4" ht="15" x14ac:dyDescent="0.25">
      <c r="A55" s="119"/>
      <c r="B55" s="119" t="s">
        <v>3585</v>
      </c>
      <c r="C55" t="s">
        <v>3397</v>
      </c>
      <c r="D55" s="121" t="s">
        <v>3766</v>
      </c>
    </row>
    <row r="56" spans="1:4" ht="15" x14ac:dyDescent="0.25">
      <c r="A56" s="119"/>
      <c r="B56" s="119" t="s">
        <v>3586</v>
      </c>
      <c r="C56" t="s">
        <v>3397</v>
      </c>
      <c r="D56" s="121" t="s">
        <v>3767</v>
      </c>
    </row>
    <row r="57" spans="1:4" ht="15" x14ac:dyDescent="0.25">
      <c r="A57" s="119"/>
      <c r="B57" s="119" t="s">
        <v>3587</v>
      </c>
      <c r="C57" t="s">
        <v>3397</v>
      </c>
      <c r="D57" s="121" t="s">
        <v>3768</v>
      </c>
    </row>
    <row r="58" spans="1:4" ht="15" x14ac:dyDescent="0.25">
      <c r="A58" s="119"/>
      <c r="B58" s="119" t="s">
        <v>3588</v>
      </c>
      <c r="C58" t="s">
        <v>3397</v>
      </c>
      <c r="D58" s="121" t="s">
        <v>1257</v>
      </c>
    </row>
    <row r="59" spans="1:4" ht="15" x14ac:dyDescent="0.25">
      <c r="A59" s="119"/>
      <c r="B59" s="119" t="s">
        <v>3589</v>
      </c>
      <c r="C59" t="s">
        <v>3397</v>
      </c>
      <c r="D59" s="121" t="s">
        <v>3769</v>
      </c>
    </row>
    <row r="60" spans="1:4" ht="15" x14ac:dyDescent="0.25">
      <c r="A60" s="119"/>
      <c r="B60" s="119" t="s">
        <v>3590</v>
      </c>
      <c r="C60" t="s">
        <v>3397</v>
      </c>
      <c r="D60" s="121" t="s">
        <v>3770</v>
      </c>
    </row>
    <row r="61" spans="1:4" ht="15" x14ac:dyDescent="0.25">
      <c r="A61" s="119"/>
      <c r="B61" s="119" t="s">
        <v>3591</v>
      </c>
      <c r="C61" t="s">
        <v>3397</v>
      </c>
      <c r="D61" s="121" t="s">
        <v>3771</v>
      </c>
    </row>
    <row r="62" spans="1:4" ht="15" x14ac:dyDescent="0.25">
      <c r="A62" s="119"/>
      <c r="B62" s="119" t="s">
        <v>3592</v>
      </c>
      <c r="C62" t="s">
        <v>3397</v>
      </c>
      <c r="D62" s="121" t="s">
        <v>3772</v>
      </c>
    </row>
    <row r="63" spans="1:4" ht="15" x14ac:dyDescent="0.25">
      <c r="A63" s="119"/>
      <c r="B63" s="119" t="s">
        <v>3593</v>
      </c>
      <c r="C63" t="s">
        <v>3397</v>
      </c>
      <c r="D63" s="121" t="s">
        <v>3773</v>
      </c>
    </row>
    <row r="64" spans="1:4" ht="15" x14ac:dyDescent="0.25">
      <c r="A64" s="119"/>
      <c r="B64" s="119" t="s">
        <v>3594</v>
      </c>
      <c r="C64" t="s">
        <v>3397</v>
      </c>
      <c r="D64" s="121" t="s">
        <v>3774</v>
      </c>
    </row>
    <row r="65" spans="1:4" ht="15" x14ac:dyDescent="0.25">
      <c r="A65" s="119"/>
      <c r="B65" s="119" t="s">
        <v>3595</v>
      </c>
      <c r="C65" t="s">
        <v>3397</v>
      </c>
      <c r="D65" s="121" t="s">
        <v>3775</v>
      </c>
    </row>
    <row r="66" spans="1:4" ht="15" x14ac:dyDescent="0.25">
      <c r="A66" s="119"/>
      <c r="B66" s="119" t="s">
        <v>3596</v>
      </c>
      <c r="C66" t="s">
        <v>3397</v>
      </c>
      <c r="D66" s="121" t="s">
        <v>3776</v>
      </c>
    </row>
    <row r="67" spans="1:4" ht="15" x14ac:dyDescent="0.25">
      <c r="A67" s="119"/>
      <c r="B67" s="119" t="s">
        <v>3597</v>
      </c>
      <c r="C67" t="s">
        <v>3397</v>
      </c>
      <c r="D67" s="121" t="s">
        <v>3777</v>
      </c>
    </row>
    <row r="68" spans="1:4" ht="15" x14ac:dyDescent="0.25">
      <c r="A68" s="119"/>
      <c r="B68" s="119" t="s">
        <v>3598</v>
      </c>
      <c r="C68" t="s">
        <v>3397</v>
      </c>
      <c r="D68" s="121" t="s">
        <v>3778</v>
      </c>
    </row>
    <row r="69" spans="1:4" ht="15" x14ac:dyDescent="0.25">
      <c r="A69" s="119"/>
      <c r="B69" s="119" t="s">
        <v>3599</v>
      </c>
      <c r="C69" t="s">
        <v>3397</v>
      </c>
      <c r="D69" s="121" t="s">
        <v>3779</v>
      </c>
    </row>
    <row r="70" spans="1:4" ht="15" x14ac:dyDescent="0.25">
      <c r="A70" s="119"/>
      <c r="B70" s="119" t="s">
        <v>3600</v>
      </c>
      <c r="C70" t="s">
        <v>3397</v>
      </c>
      <c r="D70" s="121" t="s">
        <v>1189</v>
      </c>
    </row>
    <row r="71" spans="1:4" ht="15" x14ac:dyDescent="0.25">
      <c r="A71" s="119" t="s">
        <v>3615</v>
      </c>
      <c r="B71" s="119" t="s">
        <v>3616</v>
      </c>
      <c r="C71" t="s">
        <v>3402</v>
      </c>
      <c r="D71" s="121" t="s">
        <v>3789</v>
      </c>
    </row>
    <row r="72" spans="1:4" ht="15" x14ac:dyDescent="0.25">
      <c r="A72" s="119" t="s">
        <v>3617</v>
      </c>
      <c r="B72" s="119" t="s">
        <v>3618</v>
      </c>
      <c r="C72" t="s">
        <v>3402</v>
      </c>
      <c r="D72" s="121" t="s">
        <v>3790</v>
      </c>
    </row>
    <row r="73" spans="1:4" ht="15" x14ac:dyDescent="0.25">
      <c r="A73" s="119" t="s">
        <v>3619</v>
      </c>
      <c r="B73" s="119" t="s">
        <v>3620</v>
      </c>
      <c r="C73" t="s">
        <v>3402</v>
      </c>
      <c r="D73" s="121" t="s">
        <v>3791</v>
      </c>
    </row>
    <row r="74" spans="1:4" ht="15" x14ac:dyDescent="0.25">
      <c r="A74" s="119" t="s">
        <v>3621</v>
      </c>
      <c r="B74" s="119" t="s">
        <v>3622</v>
      </c>
      <c r="C74" t="s">
        <v>3402</v>
      </c>
      <c r="D74" s="121" t="s">
        <v>3792</v>
      </c>
    </row>
    <row r="75" spans="1:4" ht="15" x14ac:dyDescent="0.25">
      <c r="A75" s="119" t="s">
        <v>3623</v>
      </c>
      <c r="B75" s="119" t="s">
        <v>3624</v>
      </c>
      <c r="C75" t="s">
        <v>3402</v>
      </c>
      <c r="D75" s="121" t="s">
        <v>3793</v>
      </c>
    </row>
    <row r="76" spans="1:4" ht="15" x14ac:dyDescent="0.25">
      <c r="A76" s="119" t="s">
        <v>3625</v>
      </c>
      <c r="B76" s="119" t="s">
        <v>3626</v>
      </c>
      <c r="C76" t="s">
        <v>3402</v>
      </c>
      <c r="D76" s="121" t="s">
        <v>3794</v>
      </c>
    </row>
    <row r="77" spans="1:4" ht="15" x14ac:dyDescent="0.25">
      <c r="A77" s="119" t="s">
        <v>3627</v>
      </c>
      <c r="B77" s="119" t="s">
        <v>3628</v>
      </c>
      <c r="C77" t="s">
        <v>3402</v>
      </c>
      <c r="D77" s="121" t="s">
        <v>3795</v>
      </c>
    </row>
    <row r="78" spans="1:4" ht="15" x14ac:dyDescent="0.25">
      <c r="A78" s="119" t="s">
        <v>3629</v>
      </c>
      <c r="B78" s="119" t="s">
        <v>3630</v>
      </c>
      <c r="C78" t="s">
        <v>3402</v>
      </c>
      <c r="D78" s="121" t="s">
        <v>3796</v>
      </c>
    </row>
    <row r="79" spans="1:4" ht="15" x14ac:dyDescent="0.25">
      <c r="A79" s="119" t="s">
        <v>3631</v>
      </c>
      <c r="B79" s="119" t="s">
        <v>3632</v>
      </c>
      <c r="C79" t="s">
        <v>3402</v>
      </c>
      <c r="D79" s="121" t="s">
        <v>3797</v>
      </c>
    </row>
    <row r="80" spans="1:4" ht="15" x14ac:dyDescent="0.25">
      <c r="A80" s="119" t="s">
        <v>3633</v>
      </c>
      <c r="B80" s="119" t="s">
        <v>3827</v>
      </c>
      <c r="C80" t="s">
        <v>3402</v>
      </c>
      <c r="D80" s="121" t="s">
        <v>3798</v>
      </c>
    </row>
    <row r="81" spans="1:4" ht="15" x14ac:dyDescent="0.25">
      <c r="A81" s="119" t="s">
        <v>1265</v>
      </c>
      <c r="B81" s="119" t="s">
        <v>3634</v>
      </c>
      <c r="C81" t="s">
        <v>3402</v>
      </c>
      <c r="D81" s="121" t="s">
        <v>1259</v>
      </c>
    </row>
    <row r="82" spans="1:4" ht="15" x14ac:dyDescent="0.25">
      <c r="A82" s="119" t="s">
        <v>1261</v>
      </c>
      <c r="B82" s="119" t="s">
        <v>3635</v>
      </c>
      <c r="C82" t="s">
        <v>3402</v>
      </c>
      <c r="D82" s="121" t="s">
        <v>1260</v>
      </c>
    </row>
    <row r="83" spans="1:4" ht="15" x14ac:dyDescent="0.25">
      <c r="A83" s="119" t="s">
        <v>3636</v>
      </c>
      <c r="B83" s="119" t="s">
        <v>3637</v>
      </c>
      <c r="C83" t="s">
        <v>3402</v>
      </c>
      <c r="D83" s="121" t="s">
        <v>1252</v>
      </c>
    </row>
    <row r="84" spans="1:4" ht="15" x14ac:dyDescent="0.25">
      <c r="A84" s="119" t="s">
        <v>3638</v>
      </c>
      <c r="B84" s="119" t="s">
        <v>3639</v>
      </c>
      <c r="C84" t="s">
        <v>3402</v>
      </c>
      <c r="D84" s="121" t="s">
        <v>696</v>
      </c>
    </row>
    <row r="85" spans="1:4" ht="15" x14ac:dyDescent="0.25">
      <c r="A85" s="119" t="s">
        <v>3640</v>
      </c>
      <c r="B85" s="119" t="s">
        <v>3641</v>
      </c>
      <c r="C85" t="s">
        <v>3402</v>
      </c>
      <c r="D85" s="121" t="s">
        <v>3799</v>
      </c>
    </row>
    <row r="86" spans="1:4" ht="15" x14ac:dyDescent="0.25">
      <c r="A86" s="119" t="s">
        <v>3642</v>
      </c>
      <c r="B86" s="119" t="s">
        <v>3643</v>
      </c>
      <c r="C86" t="s">
        <v>3402</v>
      </c>
      <c r="D86" s="121" t="s">
        <v>3800</v>
      </c>
    </row>
    <row r="87" spans="1:4" ht="15" x14ac:dyDescent="0.25">
      <c r="A87" s="119" t="s">
        <v>3649</v>
      </c>
      <c r="B87" s="119" t="s">
        <v>3650</v>
      </c>
      <c r="C87" t="s">
        <v>3402</v>
      </c>
      <c r="D87" s="121" t="s">
        <v>704</v>
      </c>
    </row>
    <row r="88" spans="1:4" ht="15" x14ac:dyDescent="0.25">
      <c r="A88" s="119"/>
      <c r="B88" s="119" t="s">
        <v>3644</v>
      </c>
      <c r="C88" t="s">
        <v>3402</v>
      </c>
      <c r="D88" s="121" t="s">
        <v>3801</v>
      </c>
    </row>
    <row r="89" spans="1:4" ht="15" x14ac:dyDescent="0.25">
      <c r="A89" s="119"/>
      <c r="B89" s="119" t="s">
        <v>3645</v>
      </c>
      <c r="C89" t="s">
        <v>3402</v>
      </c>
      <c r="D89" s="121" t="s">
        <v>3802</v>
      </c>
    </row>
    <row r="90" spans="1:4" ht="15" x14ac:dyDescent="0.25">
      <c r="A90" s="119"/>
      <c r="B90" s="119" t="s">
        <v>3646</v>
      </c>
      <c r="C90" t="s">
        <v>3402</v>
      </c>
      <c r="D90" s="121" t="s">
        <v>3803</v>
      </c>
    </row>
    <row r="91" spans="1:4" ht="15" x14ac:dyDescent="0.25">
      <c r="A91" s="119"/>
      <c r="B91" s="119" t="s">
        <v>3647</v>
      </c>
      <c r="C91" t="s">
        <v>3402</v>
      </c>
      <c r="D91" s="121" t="s">
        <v>3804</v>
      </c>
    </row>
    <row r="92" spans="1:4" ht="15" x14ac:dyDescent="0.25">
      <c r="A92" s="119" t="s">
        <v>3828</v>
      </c>
      <c r="B92" s="119" t="s">
        <v>3648</v>
      </c>
      <c r="C92" t="s">
        <v>3402</v>
      </c>
      <c r="D92" s="121" t="s">
        <v>3805</v>
      </c>
    </row>
    <row r="93" spans="1:4" ht="15" x14ac:dyDescent="0.25">
      <c r="A93" s="119"/>
      <c r="B93" s="119" t="s">
        <v>3651</v>
      </c>
      <c r="C93" t="s">
        <v>3402</v>
      </c>
      <c r="D93" s="121" t="s">
        <v>3806</v>
      </c>
    </row>
    <row r="94" spans="1:4" ht="15" x14ac:dyDescent="0.25">
      <c r="A94" s="119" t="s">
        <v>3829</v>
      </c>
      <c r="B94" s="119" t="s">
        <v>3652</v>
      </c>
      <c r="C94" t="s">
        <v>3402</v>
      </c>
      <c r="D94" s="121" t="s">
        <v>3807</v>
      </c>
    </row>
    <row r="95" spans="1:4" ht="15" x14ac:dyDescent="0.25">
      <c r="A95" s="119" t="s">
        <v>3830</v>
      </c>
      <c r="B95" s="119" t="s">
        <v>3653</v>
      </c>
      <c r="C95" t="s">
        <v>3402</v>
      </c>
      <c r="D95" s="121" t="s">
        <v>1273</v>
      </c>
    </row>
    <row r="96" spans="1:4" ht="15" x14ac:dyDescent="0.25">
      <c r="A96" s="119" t="s">
        <v>3831</v>
      </c>
      <c r="B96" s="119" t="s">
        <v>3654</v>
      </c>
      <c r="C96" t="s">
        <v>3402</v>
      </c>
      <c r="D96" s="121" t="s">
        <v>3808</v>
      </c>
    </row>
    <row r="97" spans="1:4" ht="15" x14ac:dyDescent="0.25">
      <c r="A97" s="119"/>
      <c r="B97" s="119"/>
      <c r="C97"/>
      <c r="D97" s="121"/>
    </row>
    <row r="98" spans="1:4" ht="15" x14ac:dyDescent="0.25">
      <c r="A98" s="119"/>
      <c r="B98" s="119"/>
      <c r="C98"/>
      <c r="D98" s="121"/>
    </row>
    <row r="99" spans="1:4" ht="15" x14ac:dyDescent="0.25">
      <c r="A99" s="119"/>
      <c r="B99" s="119"/>
      <c r="C99"/>
      <c r="D99" s="121"/>
    </row>
    <row r="100" spans="1:4" ht="15" x14ac:dyDescent="0.25">
      <c r="A100" s="119"/>
      <c r="B100" s="119"/>
      <c r="C100"/>
      <c r="D100" s="121"/>
    </row>
    <row r="101" spans="1:4" ht="15" x14ac:dyDescent="0.25">
      <c r="A101" s="119"/>
      <c r="B101" s="119"/>
      <c r="C101"/>
      <c r="D101" s="121"/>
    </row>
    <row r="102" spans="1:4" ht="15" x14ac:dyDescent="0.25">
      <c r="A102" s="119"/>
      <c r="B102" s="119"/>
      <c r="C102"/>
      <c r="D102" s="121"/>
    </row>
    <row r="103" spans="1:4" ht="15" x14ac:dyDescent="0.25">
      <c r="A103" s="119"/>
      <c r="B103" s="119"/>
      <c r="C103"/>
      <c r="D103" s="121"/>
    </row>
    <row r="104" spans="1:4" ht="15" x14ac:dyDescent="0.25">
      <c r="A104" s="119"/>
      <c r="B104" s="119"/>
      <c r="C104"/>
      <c r="D104" s="121"/>
    </row>
    <row r="105" spans="1:4" ht="15" x14ac:dyDescent="0.25">
      <c r="A105" s="119"/>
      <c r="B105" s="119"/>
      <c r="C105"/>
      <c r="D105" s="121"/>
    </row>
    <row r="106" spans="1:4" ht="15" x14ac:dyDescent="0.25">
      <c r="A106" s="119"/>
      <c r="B106" s="119"/>
      <c r="C106"/>
      <c r="D106" s="121"/>
    </row>
    <row r="107" spans="1:4" ht="15" x14ac:dyDescent="0.25">
      <c r="A107" s="119"/>
      <c r="B107" s="119"/>
      <c r="C107"/>
      <c r="D107" s="121"/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scale="91" firstPageNumber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3241-F9B4-4332-A759-63104A3A064F}">
  <dimension ref="A1:M1028"/>
  <sheetViews>
    <sheetView zoomScale="73" zoomScaleNormal="85" workbookViewId="0">
      <pane ySplit="1" topLeftCell="A2" activePane="bottomLeft" state="frozen"/>
      <selection pane="bottomLeft" activeCell="G1039" sqref="G1039"/>
    </sheetView>
  </sheetViews>
  <sheetFormatPr baseColWidth="10" defaultColWidth="11.42578125" defaultRowHeight="12.75" x14ac:dyDescent="0.2"/>
  <cols>
    <col min="1" max="1" width="12.42578125" style="19" customWidth="1"/>
    <col min="2" max="2" width="17.140625" style="19" customWidth="1"/>
    <col min="3" max="3" width="60.7109375" style="19" customWidth="1"/>
    <col min="4" max="4" width="66.5703125" style="19" customWidth="1"/>
    <col min="5" max="5" width="22.85546875" style="91" bestFit="1" customWidth="1"/>
    <col min="6" max="6" width="54.5703125" style="71" customWidth="1"/>
    <col min="7" max="7" width="42.28515625" style="71" customWidth="1"/>
    <col min="8" max="8" width="34.5703125" style="71" customWidth="1"/>
    <col min="9" max="9" width="22.28515625" style="19" customWidth="1"/>
    <col min="10" max="10" width="75.28515625" style="71" customWidth="1"/>
    <col min="11" max="11" width="80.140625" style="19" customWidth="1"/>
    <col min="12" max="16384" width="11.42578125" style="19"/>
  </cols>
  <sheetData>
    <row r="1" spans="1:13" s="13" customFormat="1" ht="63.75" x14ac:dyDescent="0.25">
      <c r="A1" s="10" t="s">
        <v>1282</v>
      </c>
      <c r="B1" s="11" t="s">
        <v>1283</v>
      </c>
      <c r="C1" s="10" t="s">
        <v>1284</v>
      </c>
      <c r="D1" s="11" t="s">
        <v>1285</v>
      </c>
      <c r="E1" s="11" t="s">
        <v>1286</v>
      </c>
      <c r="F1" s="10" t="s">
        <v>540</v>
      </c>
      <c r="G1" s="10" t="s">
        <v>1287</v>
      </c>
      <c r="H1" s="12" t="s">
        <v>1288</v>
      </c>
      <c r="I1" s="10" t="s">
        <v>1289</v>
      </c>
      <c r="J1" s="11" t="s">
        <v>1290</v>
      </c>
      <c r="K1" s="11" t="s">
        <v>1291</v>
      </c>
    </row>
    <row r="2" spans="1:13" ht="15" customHeight="1" x14ac:dyDescent="0.2">
      <c r="A2" s="14" t="s">
        <v>95</v>
      </c>
      <c r="B2" s="15">
        <v>10909</v>
      </c>
      <c r="C2" s="16" t="s">
        <v>96</v>
      </c>
      <c r="D2" s="14" t="s">
        <v>1292</v>
      </c>
      <c r="E2" s="17" t="s">
        <v>1293</v>
      </c>
      <c r="F2" s="18" t="s">
        <v>710</v>
      </c>
      <c r="G2" s="18"/>
      <c r="H2" s="18" t="s">
        <v>547</v>
      </c>
      <c r="I2" s="14" t="s">
        <v>1294</v>
      </c>
      <c r="J2" s="18"/>
      <c r="K2" s="18"/>
      <c r="M2" s="20" t="str">
        <f>TRIM(C2)</f>
        <v>Alytes cisternasii</v>
      </c>
    </row>
    <row r="3" spans="1:13" ht="15" customHeight="1" x14ac:dyDescent="0.2">
      <c r="A3" s="14" t="s">
        <v>95</v>
      </c>
      <c r="B3" s="15">
        <v>11158</v>
      </c>
      <c r="C3" s="16" t="s">
        <v>1295</v>
      </c>
      <c r="D3" s="14" t="s">
        <v>1296</v>
      </c>
      <c r="E3" s="17" t="s">
        <v>1293</v>
      </c>
      <c r="F3" s="18" t="s">
        <v>711</v>
      </c>
      <c r="G3" s="18"/>
      <c r="H3" s="18" t="s">
        <v>562</v>
      </c>
      <c r="I3" s="14" t="s">
        <v>1294</v>
      </c>
      <c r="J3" s="18"/>
      <c r="K3" s="18"/>
      <c r="M3" s="20" t="str">
        <f t="shared" ref="M3:M66" si="0">TRIM(C3)</f>
        <v>Alytes dickhilleni</v>
      </c>
    </row>
    <row r="4" spans="1:13" ht="15" customHeight="1" x14ac:dyDescent="0.2">
      <c r="A4" s="14" t="s">
        <v>95</v>
      </c>
      <c r="B4" s="15">
        <v>11790</v>
      </c>
      <c r="C4" s="16" t="s">
        <v>1297</v>
      </c>
      <c r="D4" s="15" t="s">
        <v>1298</v>
      </c>
      <c r="E4" s="17" t="s">
        <v>1293</v>
      </c>
      <c r="F4" s="18" t="s">
        <v>1299</v>
      </c>
      <c r="G4" s="18"/>
      <c r="H4" s="18" t="s">
        <v>1300</v>
      </c>
      <c r="I4" s="14" t="s">
        <v>1294</v>
      </c>
      <c r="J4" s="18"/>
      <c r="K4" s="18"/>
      <c r="M4" s="20" t="str">
        <f t="shared" si="0"/>
        <v>Alytes muletensis</v>
      </c>
    </row>
    <row r="5" spans="1:13" ht="15" customHeight="1" x14ac:dyDescent="0.2">
      <c r="A5" s="14" t="s">
        <v>95</v>
      </c>
      <c r="B5" s="15">
        <v>11878</v>
      </c>
      <c r="C5" s="16" t="s">
        <v>1301</v>
      </c>
      <c r="D5" s="15" t="s">
        <v>1302</v>
      </c>
      <c r="E5" s="17" t="s">
        <v>1293</v>
      </c>
      <c r="F5" s="18" t="s">
        <v>1303</v>
      </c>
      <c r="G5" s="18"/>
      <c r="H5" s="18" t="s">
        <v>547</v>
      </c>
      <c r="I5" s="14" t="s">
        <v>1294</v>
      </c>
      <c r="J5" s="18"/>
      <c r="K5" s="18"/>
      <c r="M5" s="20" t="str">
        <f t="shared" si="0"/>
        <v>Alytes obstetricans</v>
      </c>
    </row>
    <row r="6" spans="1:13" s="25" customFormat="1" ht="15" customHeight="1" x14ac:dyDescent="0.2">
      <c r="A6" s="15" t="s">
        <v>95</v>
      </c>
      <c r="B6" s="15">
        <v>16220</v>
      </c>
      <c r="C6" s="21" t="s">
        <v>1304</v>
      </c>
      <c r="D6" s="22" t="s">
        <v>1305</v>
      </c>
      <c r="E6" s="23" t="s">
        <v>1293</v>
      </c>
      <c r="F6" s="24" t="s">
        <v>1306</v>
      </c>
      <c r="G6" s="24"/>
      <c r="H6" s="24" t="s">
        <v>547</v>
      </c>
      <c r="I6" s="15" t="s">
        <v>1294</v>
      </c>
      <c r="J6" s="24"/>
      <c r="K6" s="24"/>
      <c r="M6" s="20" t="str">
        <f t="shared" si="0"/>
        <v>Bufo balearicus (= Bufo viridis)</v>
      </c>
    </row>
    <row r="7" spans="1:13" ht="15" customHeight="1" x14ac:dyDescent="0.2">
      <c r="A7" s="14" t="s">
        <v>95</v>
      </c>
      <c r="B7" s="15">
        <v>10762</v>
      </c>
      <c r="C7" s="16" t="s">
        <v>1307</v>
      </c>
      <c r="D7" s="15" t="s">
        <v>1308</v>
      </c>
      <c r="E7" s="17" t="s">
        <v>1293</v>
      </c>
      <c r="F7" s="18" t="s">
        <v>1309</v>
      </c>
      <c r="G7" s="18"/>
      <c r="H7" s="18" t="s">
        <v>1300</v>
      </c>
      <c r="I7" s="14" t="s">
        <v>1294</v>
      </c>
      <c r="J7" s="18"/>
      <c r="K7" s="18"/>
      <c r="M7" s="20" t="str">
        <f t="shared" si="0"/>
        <v>Calotriton arnoldi</v>
      </c>
    </row>
    <row r="8" spans="1:13" ht="15" customHeight="1" x14ac:dyDescent="0.2">
      <c r="A8" s="14" t="s">
        <v>95</v>
      </c>
      <c r="B8" s="15">
        <v>10769</v>
      </c>
      <c r="C8" s="16" t="s">
        <v>1310</v>
      </c>
      <c r="D8" s="15" t="s">
        <v>1311</v>
      </c>
      <c r="E8" s="17" t="s">
        <v>1293</v>
      </c>
      <c r="F8" s="18" t="s">
        <v>1312</v>
      </c>
      <c r="G8" s="18"/>
      <c r="H8" s="18" t="s">
        <v>547</v>
      </c>
      <c r="I8" s="14" t="s">
        <v>1294</v>
      </c>
      <c r="J8" s="18"/>
      <c r="K8" s="18"/>
      <c r="M8" s="20" t="str">
        <f t="shared" si="0"/>
        <v>Calotriton (Euproctus) asper</v>
      </c>
    </row>
    <row r="9" spans="1:13" ht="15" customHeight="1" x14ac:dyDescent="0.2">
      <c r="A9" s="14" t="s">
        <v>95</v>
      </c>
      <c r="B9" s="15">
        <v>11632</v>
      </c>
      <c r="C9" s="16" t="s">
        <v>1313</v>
      </c>
      <c r="D9" s="15" t="s">
        <v>1314</v>
      </c>
      <c r="E9" s="17" t="s">
        <v>1293</v>
      </c>
      <c r="F9" s="18" t="s">
        <v>1315</v>
      </c>
      <c r="G9" s="18"/>
      <c r="H9" s="18" t="s">
        <v>562</v>
      </c>
      <c r="I9" s="14" t="s">
        <v>1294</v>
      </c>
      <c r="J9" s="18"/>
      <c r="K9" s="18"/>
      <c r="M9" s="20" t="str">
        <f t="shared" si="0"/>
        <v>Chioglossa lusitanica</v>
      </c>
    </row>
    <row r="10" spans="1:13" ht="12.75" customHeight="1" x14ac:dyDescent="0.2">
      <c r="A10" s="14" t="s">
        <v>95</v>
      </c>
      <c r="B10" s="15">
        <v>11332</v>
      </c>
      <c r="C10" s="16" t="s">
        <v>712</v>
      </c>
      <c r="D10" s="15" t="s">
        <v>1316</v>
      </c>
      <c r="E10" s="17" t="s">
        <v>1293</v>
      </c>
      <c r="F10" s="18" t="s">
        <v>713</v>
      </c>
      <c r="G10" s="18"/>
      <c r="H10" s="18" t="s">
        <v>547</v>
      </c>
      <c r="I10" s="14" t="s">
        <v>1294</v>
      </c>
      <c r="J10" s="18"/>
      <c r="K10" s="18"/>
      <c r="M10" s="20" t="str">
        <f t="shared" si="0"/>
        <v>Discoglossus galganoi</v>
      </c>
    </row>
    <row r="11" spans="1:13" ht="15" customHeight="1" x14ac:dyDescent="0.2">
      <c r="A11" s="14" t="s">
        <v>95</v>
      </c>
      <c r="B11" s="15">
        <v>24211</v>
      </c>
      <c r="C11" s="16" t="s">
        <v>545</v>
      </c>
      <c r="D11" s="26" t="s">
        <v>1317</v>
      </c>
      <c r="E11" s="17" t="s">
        <v>1318</v>
      </c>
      <c r="F11" s="18" t="s">
        <v>546</v>
      </c>
      <c r="G11" s="18"/>
      <c r="H11" s="18" t="s">
        <v>547</v>
      </c>
      <c r="I11" s="14" t="s">
        <v>1294</v>
      </c>
      <c r="J11" s="18"/>
      <c r="K11" s="18"/>
      <c r="M11" s="20" t="str">
        <f t="shared" si="0"/>
        <v>Discoglossus jeanneae</v>
      </c>
    </row>
    <row r="12" spans="1:13" ht="15" customHeight="1" x14ac:dyDescent="0.2">
      <c r="A12" s="14" t="s">
        <v>95</v>
      </c>
      <c r="B12" s="15">
        <v>11985</v>
      </c>
      <c r="C12" s="16" t="s">
        <v>1319</v>
      </c>
      <c r="D12" s="15" t="s">
        <v>1320</v>
      </c>
      <c r="E12" s="17" t="s">
        <v>1293</v>
      </c>
      <c r="F12" s="18" t="s">
        <v>1321</v>
      </c>
      <c r="G12" s="18"/>
      <c r="H12" s="18" t="s">
        <v>547</v>
      </c>
      <c r="I12" s="14" t="s">
        <v>1294</v>
      </c>
      <c r="J12" s="18"/>
      <c r="K12" s="18"/>
      <c r="M12" s="20" t="str">
        <f t="shared" si="0"/>
        <v>Discoglossus pictus</v>
      </c>
    </row>
    <row r="13" spans="1:13" ht="15" customHeight="1" x14ac:dyDescent="0.2">
      <c r="A13" s="14" t="s">
        <v>95</v>
      </c>
      <c r="B13" s="15">
        <v>24327</v>
      </c>
      <c r="C13" s="16" t="s">
        <v>485</v>
      </c>
      <c r="D13" s="15" t="s">
        <v>1322</v>
      </c>
      <c r="E13" s="17" t="s">
        <v>1293</v>
      </c>
      <c r="F13" s="18" t="s">
        <v>672</v>
      </c>
      <c r="G13" s="18"/>
      <c r="H13" s="18" t="s">
        <v>547</v>
      </c>
      <c r="I13" s="14" t="s">
        <v>1294</v>
      </c>
      <c r="J13" s="18"/>
      <c r="K13" s="18"/>
      <c r="M13" s="20" t="str">
        <f t="shared" si="0"/>
        <v>Bufo calamita</v>
      </c>
    </row>
    <row r="14" spans="1:13" ht="15" customHeight="1" x14ac:dyDescent="0.2">
      <c r="A14" s="14" t="s">
        <v>95</v>
      </c>
      <c r="B14" s="15">
        <v>11717</v>
      </c>
      <c r="C14" s="16" t="s">
        <v>675</v>
      </c>
      <c r="D14" s="15" t="s">
        <v>1323</v>
      </c>
      <c r="E14" s="17" t="s">
        <v>1293</v>
      </c>
      <c r="F14" s="18" t="s">
        <v>676</v>
      </c>
      <c r="G14" s="18" t="s">
        <v>1324</v>
      </c>
      <c r="H14" s="18" t="s">
        <v>547</v>
      </c>
      <c r="I14" s="14" t="s">
        <v>1294</v>
      </c>
      <c r="J14" s="18"/>
      <c r="K14" s="18"/>
      <c r="M14" s="20" t="str">
        <f t="shared" si="0"/>
        <v>Hyla meridionalis</v>
      </c>
    </row>
    <row r="15" spans="1:13" ht="15" customHeight="1" x14ac:dyDescent="0.2">
      <c r="A15" s="14" t="s">
        <v>95</v>
      </c>
      <c r="B15" s="15">
        <v>16222</v>
      </c>
      <c r="C15" s="16" t="s">
        <v>718</v>
      </c>
      <c r="D15" s="15" t="s">
        <v>1325</v>
      </c>
      <c r="E15" s="17" t="s">
        <v>1293</v>
      </c>
      <c r="F15" s="18" t="s">
        <v>719</v>
      </c>
      <c r="G15" s="18"/>
      <c r="H15" s="18" t="s">
        <v>547</v>
      </c>
      <c r="I15" s="14" t="s">
        <v>1294</v>
      </c>
      <c r="J15" s="18"/>
      <c r="K15" s="18"/>
      <c r="M15" s="20" t="str">
        <f t="shared" si="0"/>
        <v>Hyla arborea</v>
      </c>
    </row>
    <row r="16" spans="1:13" ht="15" customHeight="1" x14ac:dyDescent="0.2">
      <c r="A16" s="14" t="s">
        <v>95</v>
      </c>
      <c r="B16" s="15">
        <v>10729</v>
      </c>
      <c r="C16" s="16" t="s">
        <v>1326</v>
      </c>
      <c r="D16" s="15" t="s">
        <v>1327</v>
      </c>
      <c r="E16" s="17" t="s">
        <v>1293</v>
      </c>
      <c r="F16" s="18" t="s">
        <v>706</v>
      </c>
      <c r="G16" s="18"/>
      <c r="H16" s="18" t="s">
        <v>547</v>
      </c>
      <c r="I16" s="14" t="s">
        <v>1294</v>
      </c>
      <c r="J16" s="18"/>
      <c r="K16" s="18"/>
      <c r="M16" s="20" t="str">
        <f t="shared" si="0"/>
        <v>Lissotriton boscai (antes Triturus boscai)</v>
      </c>
    </row>
    <row r="17" spans="1:13" ht="15" customHeight="1" x14ac:dyDescent="0.2">
      <c r="A17" s="14" t="s">
        <v>95</v>
      </c>
      <c r="B17" s="15">
        <v>11431</v>
      </c>
      <c r="C17" s="16" t="s">
        <v>1328</v>
      </c>
      <c r="D17" s="15" t="s">
        <v>1329</v>
      </c>
      <c r="E17" s="17" t="s">
        <v>1293</v>
      </c>
      <c r="F17" s="18" t="s">
        <v>1330</v>
      </c>
      <c r="G17" s="18"/>
      <c r="H17" s="18" t="s">
        <v>547</v>
      </c>
      <c r="I17" s="14" t="s">
        <v>1294</v>
      </c>
      <c r="J17" s="18"/>
      <c r="K17" s="18"/>
      <c r="M17" s="20" t="str">
        <f t="shared" si="0"/>
        <v>Lissotriton helveticus (antes Triturus helveticus)</v>
      </c>
    </row>
    <row r="18" spans="1:13" ht="15" customHeight="1" x14ac:dyDescent="0.2">
      <c r="A18" s="14" t="s">
        <v>95</v>
      </c>
      <c r="B18" s="15">
        <v>33080</v>
      </c>
      <c r="C18" s="16" t="s">
        <v>1331</v>
      </c>
      <c r="D18" s="15" t="s">
        <v>1332</v>
      </c>
      <c r="E18" s="17" t="s">
        <v>1293</v>
      </c>
      <c r="F18" s="18" t="s">
        <v>1333</v>
      </c>
      <c r="G18" s="18"/>
      <c r="H18" s="18" t="s">
        <v>562</v>
      </c>
      <c r="I18" s="14" t="s">
        <v>1294</v>
      </c>
      <c r="J18" s="18"/>
      <c r="K18" s="18"/>
      <c r="M18" s="20" t="str">
        <f t="shared" si="0"/>
        <v>Mesotriton alpestris (antes Triturus alpestris)</v>
      </c>
    </row>
    <row r="19" spans="1:13" ht="15" customHeight="1" x14ac:dyDescent="0.2">
      <c r="A19" s="14" t="s">
        <v>95</v>
      </c>
      <c r="B19" s="15">
        <v>11108</v>
      </c>
      <c r="C19" s="16" t="s">
        <v>326</v>
      </c>
      <c r="D19" s="15" t="s">
        <v>1334</v>
      </c>
      <c r="E19" s="17" t="s">
        <v>1293</v>
      </c>
      <c r="F19" s="18" t="s">
        <v>714</v>
      </c>
      <c r="G19" s="18"/>
      <c r="H19" s="18" t="s">
        <v>547</v>
      </c>
      <c r="I19" s="14" t="s">
        <v>1294</v>
      </c>
      <c r="J19" s="18"/>
      <c r="K19" s="18"/>
      <c r="M19" s="20" t="str">
        <f t="shared" si="0"/>
        <v>Pelobates cultripes</v>
      </c>
    </row>
    <row r="20" spans="1:13" ht="13.5" customHeight="1" x14ac:dyDescent="0.2">
      <c r="A20" s="14" t="s">
        <v>95</v>
      </c>
      <c r="B20" s="15">
        <v>11490</v>
      </c>
      <c r="C20" s="16" t="s">
        <v>1335</v>
      </c>
      <c r="D20" s="15" t="s">
        <v>1336</v>
      </c>
      <c r="E20" s="17" t="s">
        <v>1293</v>
      </c>
      <c r="F20" s="18" t="s">
        <v>715</v>
      </c>
      <c r="G20" s="18"/>
      <c r="H20" s="18" t="s">
        <v>547</v>
      </c>
      <c r="I20" s="14" t="s">
        <v>1294</v>
      </c>
      <c r="J20" s="18"/>
      <c r="K20" s="18"/>
      <c r="M20" s="20" t="str">
        <f t="shared" si="0"/>
        <v>Pelodytes ibericus (antes P. punctatus)</v>
      </c>
    </row>
    <row r="21" spans="1:13" ht="15" customHeight="1" x14ac:dyDescent="0.2">
      <c r="A21" s="14" t="s">
        <v>95</v>
      </c>
      <c r="B21" s="15">
        <v>12037</v>
      </c>
      <c r="C21" s="16" t="s">
        <v>716</v>
      </c>
      <c r="D21" s="15" t="s">
        <v>1337</v>
      </c>
      <c r="E21" s="17" t="s">
        <v>1293</v>
      </c>
      <c r="F21" s="18" t="s">
        <v>717</v>
      </c>
      <c r="G21" s="18"/>
      <c r="H21" s="18" t="s">
        <v>547</v>
      </c>
      <c r="I21" s="14" t="s">
        <v>1294</v>
      </c>
      <c r="J21" s="18"/>
      <c r="K21" s="18"/>
      <c r="M21" s="20" t="str">
        <f t="shared" si="0"/>
        <v>Pelodytes punctatus</v>
      </c>
    </row>
    <row r="22" spans="1:13" ht="15" customHeight="1" x14ac:dyDescent="0.2">
      <c r="A22" s="14" t="s">
        <v>95</v>
      </c>
      <c r="B22" s="15">
        <v>12420</v>
      </c>
      <c r="C22" s="16" t="s">
        <v>707</v>
      </c>
      <c r="D22" s="15" t="s">
        <v>1338</v>
      </c>
      <c r="E22" s="17" t="s">
        <v>1293</v>
      </c>
      <c r="F22" s="18" t="s">
        <v>708</v>
      </c>
      <c r="G22" s="18"/>
      <c r="H22" s="18" t="s">
        <v>547</v>
      </c>
      <c r="I22" s="14" t="s">
        <v>1294</v>
      </c>
      <c r="J22" s="18"/>
      <c r="K22" s="18"/>
      <c r="M22" s="20" t="str">
        <f t="shared" si="0"/>
        <v>Pleurodeles waltl</v>
      </c>
    </row>
    <row r="23" spans="1:13" ht="15" customHeight="1" x14ac:dyDescent="0.2">
      <c r="A23" s="14" t="s">
        <v>95</v>
      </c>
      <c r="B23" s="15">
        <v>11128</v>
      </c>
      <c r="C23" s="16" t="s">
        <v>1339</v>
      </c>
      <c r="D23" s="15" t="s">
        <v>1340</v>
      </c>
      <c r="E23" s="17" t="s">
        <v>1293</v>
      </c>
      <c r="F23" s="18" t="s">
        <v>1341</v>
      </c>
      <c r="G23" s="18"/>
      <c r="H23" s="18" t="s">
        <v>562</v>
      </c>
      <c r="I23" s="14" t="s">
        <v>1294</v>
      </c>
      <c r="J23" s="18"/>
      <c r="K23" s="18"/>
      <c r="M23" s="20" t="str">
        <f t="shared" si="0"/>
        <v>Rana dalmatina</v>
      </c>
    </row>
    <row r="24" spans="1:13" ht="15" customHeight="1" x14ac:dyDescent="0.2">
      <c r="A24" s="14" t="s">
        <v>95</v>
      </c>
      <c r="B24" s="15">
        <v>11485</v>
      </c>
      <c r="C24" s="16" t="s">
        <v>1342</v>
      </c>
      <c r="D24" s="15" t="s">
        <v>1343</v>
      </c>
      <c r="E24" s="17" t="s">
        <v>1293</v>
      </c>
      <c r="F24" s="18" t="s">
        <v>1344</v>
      </c>
      <c r="G24" s="18"/>
      <c r="H24" s="18" t="s">
        <v>547</v>
      </c>
      <c r="I24" s="14" t="s">
        <v>1294</v>
      </c>
      <c r="J24" s="18"/>
      <c r="K24" s="18"/>
      <c r="M24" s="20" t="str">
        <f t="shared" si="0"/>
        <v>Rana iberica</v>
      </c>
    </row>
    <row r="25" spans="1:13" ht="15" customHeight="1" x14ac:dyDescent="0.2">
      <c r="A25" s="14" t="s">
        <v>95</v>
      </c>
      <c r="B25" s="15">
        <v>12056</v>
      </c>
      <c r="C25" s="16" t="s">
        <v>1345</v>
      </c>
      <c r="D25" s="15" t="s">
        <v>1346</v>
      </c>
      <c r="E25" s="17" t="s">
        <v>1293</v>
      </c>
      <c r="F25" s="18" t="s">
        <v>1347</v>
      </c>
      <c r="G25" s="18"/>
      <c r="H25" s="18" t="s">
        <v>562</v>
      </c>
      <c r="I25" s="14" t="s">
        <v>1294</v>
      </c>
      <c r="J25" s="18"/>
      <c r="K25" s="18"/>
      <c r="M25" s="20" t="str">
        <f t="shared" si="0"/>
        <v>Rana pyrenaica</v>
      </c>
    </row>
    <row r="26" spans="1:13" ht="15" customHeight="1" x14ac:dyDescent="0.2">
      <c r="A26" s="14" t="s">
        <v>95</v>
      </c>
      <c r="B26" s="15">
        <v>12298</v>
      </c>
      <c r="C26" s="16" t="s">
        <v>1348</v>
      </c>
      <c r="D26" s="15" t="s">
        <v>1349</v>
      </c>
      <c r="E26" s="17" t="s">
        <v>1293</v>
      </c>
      <c r="F26" s="18" t="s">
        <v>1350</v>
      </c>
      <c r="G26" s="18"/>
      <c r="H26" s="18" t="s">
        <v>547</v>
      </c>
      <c r="I26" s="14" t="s">
        <v>1294</v>
      </c>
      <c r="J26" s="18"/>
      <c r="K26" s="18"/>
      <c r="M26" s="20" t="str">
        <f t="shared" si="0"/>
        <v>Rana temporaria</v>
      </c>
    </row>
    <row r="27" spans="1:13" ht="15" customHeight="1" x14ac:dyDescent="0.2">
      <c r="A27" s="14" t="s">
        <v>95</v>
      </c>
      <c r="B27" s="15">
        <v>10667</v>
      </c>
      <c r="C27" s="16" t="s">
        <v>1351</v>
      </c>
      <c r="D27" s="15" t="s">
        <v>1352</v>
      </c>
      <c r="E27" s="17" t="s">
        <v>1293</v>
      </c>
      <c r="F27" s="18" t="s">
        <v>1353</v>
      </c>
      <c r="G27" s="18"/>
      <c r="H27" s="18" t="s">
        <v>562</v>
      </c>
      <c r="I27" s="14" t="s">
        <v>1294</v>
      </c>
      <c r="J27" s="18"/>
      <c r="K27" s="18"/>
      <c r="M27" s="20" t="str">
        <f t="shared" si="0"/>
        <v>Salamandra algira</v>
      </c>
    </row>
    <row r="28" spans="1:13" ht="15" customHeight="1" x14ac:dyDescent="0.2">
      <c r="A28" s="14" t="s">
        <v>95</v>
      </c>
      <c r="B28" s="15">
        <v>11677</v>
      </c>
      <c r="C28" s="16" t="s">
        <v>1354</v>
      </c>
      <c r="D28" s="15" t="s">
        <v>1355</v>
      </c>
      <c r="E28" s="17" t="s">
        <v>1293</v>
      </c>
      <c r="F28" s="18" t="s">
        <v>1356</v>
      </c>
      <c r="G28" s="18"/>
      <c r="H28" s="18" t="s">
        <v>547</v>
      </c>
      <c r="I28" s="14" t="s">
        <v>1294</v>
      </c>
      <c r="J28" s="18"/>
      <c r="K28" s="18"/>
      <c r="M28" s="20" t="str">
        <f t="shared" si="0"/>
        <v>Triturus marmoratus</v>
      </c>
    </row>
    <row r="29" spans="1:13" ht="15" customHeight="1" x14ac:dyDescent="0.2">
      <c r="A29" s="14" t="s">
        <v>95</v>
      </c>
      <c r="B29" s="15">
        <v>12051</v>
      </c>
      <c r="C29" s="16" t="s">
        <v>1357</v>
      </c>
      <c r="D29" s="15" t="s">
        <v>1358</v>
      </c>
      <c r="E29" s="17" t="s">
        <v>1293</v>
      </c>
      <c r="F29" s="18" t="s">
        <v>709</v>
      </c>
      <c r="G29" s="18"/>
      <c r="H29" s="18" t="s">
        <v>547</v>
      </c>
      <c r="I29" s="14" t="s">
        <v>1294</v>
      </c>
      <c r="J29" s="18"/>
      <c r="K29" s="18"/>
      <c r="M29" s="20" t="str">
        <f t="shared" si="0"/>
        <v>Triturus pygmaeus</v>
      </c>
    </row>
    <row r="30" spans="1:13" ht="15" customHeight="1" x14ac:dyDescent="0.2">
      <c r="A30" s="14" t="s">
        <v>31</v>
      </c>
      <c r="B30" s="15">
        <v>11351</v>
      </c>
      <c r="C30" s="16" t="s">
        <v>614</v>
      </c>
      <c r="D30" s="14" t="s">
        <v>1359</v>
      </c>
      <c r="E30" s="17" t="s">
        <v>1293</v>
      </c>
      <c r="F30" s="18" t="s">
        <v>615</v>
      </c>
      <c r="G30" s="18"/>
      <c r="H30" s="18" t="s">
        <v>547</v>
      </c>
      <c r="I30" s="14" t="s">
        <v>1294</v>
      </c>
      <c r="J30" s="18"/>
      <c r="K30" s="18"/>
      <c r="M30" s="20" t="str">
        <f t="shared" si="0"/>
        <v>Accipiter gentilis</v>
      </c>
    </row>
    <row r="31" spans="1:13" ht="15" customHeight="1" x14ac:dyDescent="0.2">
      <c r="A31" s="14" t="s">
        <v>31</v>
      </c>
      <c r="B31" s="15">
        <v>11849</v>
      </c>
      <c r="C31" s="16" t="s">
        <v>563</v>
      </c>
      <c r="D31" s="14" t="s">
        <v>1360</v>
      </c>
      <c r="E31" s="17" t="s">
        <v>1293</v>
      </c>
      <c r="F31" s="18" t="s">
        <v>564</v>
      </c>
      <c r="G31" s="18"/>
      <c r="H31" s="18" t="s">
        <v>547</v>
      </c>
      <c r="I31" s="14" t="s">
        <v>1294</v>
      </c>
      <c r="J31" s="18"/>
      <c r="K31" s="18"/>
      <c r="M31" s="20" t="str">
        <f t="shared" si="0"/>
        <v>Accipiter nisus</v>
      </c>
    </row>
    <row r="32" spans="1:13" ht="15" customHeight="1" x14ac:dyDescent="0.2">
      <c r="A32" s="14" t="s">
        <v>31</v>
      </c>
      <c r="B32" s="15">
        <v>10766</v>
      </c>
      <c r="C32" s="16" t="s">
        <v>314</v>
      </c>
      <c r="D32" s="14" t="s">
        <v>1361</v>
      </c>
      <c r="E32" s="17" t="s">
        <v>1293</v>
      </c>
      <c r="F32" s="18" t="s">
        <v>972</v>
      </c>
      <c r="G32" s="18"/>
      <c r="H32" s="18" t="s">
        <v>547</v>
      </c>
      <c r="I32" s="14" t="s">
        <v>1294</v>
      </c>
      <c r="J32" s="18"/>
      <c r="K32" s="18"/>
      <c r="M32" s="20" t="str">
        <f t="shared" si="0"/>
        <v>Acrocephalus arundinaceus</v>
      </c>
    </row>
    <row r="33" spans="1:13" ht="15" customHeight="1" x14ac:dyDescent="0.2">
      <c r="A33" s="14" t="s">
        <v>31</v>
      </c>
      <c r="B33" s="15">
        <v>11706</v>
      </c>
      <c r="C33" s="16" t="s">
        <v>973</v>
      </c>
      <c r="D33" s="14" t="s">
        <v>1362</v>
      </c>
      <c r="E33" s="17" t="s">
        <v>1293</v>
      </c>
      <c r="F33" s="18" t="s">
        <v>974</v>
      </c>
      <c r="G33" s="18"/>
      <c r="H33" s="18" t="s">
        <v>547</v>
      </c>
      <c r="I33" s="14" t="s">
        <v>1294</v>
      </c>
      <c r="J33" s="18"/>
      <c r="K33" s="18"/>
      <c r="M33" s="20" t="str">
        <f t="shared" si="0"/>
        <v>Acrocephalus melanopogon</v>
      </c>
    </row>
    <row r="34" spans="1:13" ht="15" customHeight="1" x14ac:dyDescent="0.2">
      <c r="A34" s="14" t="s">
        <v>31</v>
      </c>
      <c r="B34" s="15">
        <v>11932</v>
      </c>
      <c r="C34" s="16" t="s">
        <v>975</v>
      </c>
      <c r="D34" s="14" t="s">
        <v>1363</v>
      </c>
      <c r="E34" s="17" t="s">
        <v>1293</v>
      </c>
      <c r="F34" s="18" t="s">
        <v>976</v>
      </c>
      <c r="G34" s="18"/>
      <c r="H34" s="18" t="s">
        <v>547</v>
      </c>
      <c r="I34" s="14" t="s">
        <v>1294</v>
      </c>
      <c r="J34" s="18"/>
      <c r="K34" s="18"/>
      <c r="M34" s="20" t="str">
        <f t="shared" si="0"/>
        <v>Acrocephalus paludicola</v>
      </c>
    </row>
    <row r="35" spans="1:13" ht="15" customHeight="1" x14ac:dyDescent="0.2">
      <c r="A35" s="14" t="s">
        <v>31</v>
      </c>
      <c r="B35" s="15">
        <v>12166</v>
      </c>
      <c r="C35" s="16" t="s">
        <v>977</v>
      </c>
      <c r="D35" s="14" t="s">
        <v>1364</v>
      </c>
      <c r="E35" s="17" t="s">
        <v>1293</v>
      </c>
      <c r="F35" s="18" t="s">
        <v>978</v>
      </c>
      <c r="G35" s="18"/>
      <c r="H35" s="18" t="s">
        <v>547</v>
      </c>
      <c r="I35" s="14" t="s">
        <v>1294</v>
      </c>
      <c r="J35" s="18"/>
      <c r="K35" s="18"/>
      <c r="M35" s="20" t="str">
        <f t="shared" si="0"/>
        <v>Acrocephalus schoenobaenus</v>
      </c>
    </row>
    <row r="36" spans="1:13" ht="15" customHeight="1" x14ac:dyDescent="0.2">
      <c r="A36" s="14" t="s">
        <v>31</v>
      </c>
      <c r="B36" s="15">
        <v>12171</v>
      </c>
      <c r="C36" s="16" t="s">
        <v>303</v>
      </c>
      <c r="D36" s="14" t="s">
        <v>1365</v>
      </c>
      <c r="E36" s="17" t="s">
        <v>1293</v>
      </c>
      <c r="F36" s="18" t="s">
        <v>979</v>
      </c>
      <c r="G36" s="18"/>
      <c r="H36" s="18" t="s">
        <v>547</v>
      </c>
      <c r="I36" s="14" t="s">
        <v>1294</v>
      </c>
      <c r="J36" s="18"/>
      <c r="K36" s="18"/>
      <c r="M36" s="20" t="str">
        <f t="shared" si="0"/>
        <v>Acrocephalus scirpaceus</v>
      </c>
    </row>
    <row r="37" spans="1:13" ht="15" customHeight="1" x14ac:dyDescent="0.2">
      <c r="A37" s="14" t="s">
        <v>31</v>
      </c>
      <c r="B37" s="15">
        <v>11484</v>
      </c>
      <c r="C37" s="16" t="s">
        <v>458</v>
      </c>
      <c r="D37" s="14" t="s">
        <v>1366</v>
      </c>
      <c r="E37" s="17" t="s">
        <v>1293</v>
      </c>
      <c r="F37" s="18" t="s">
        <v>847</v>
      </c>
      <c r="G37" s="18"/>
      <c r="H37" s="18" t="s">
        <v>547</v>
      </c>
      <c r="I37" s="14" t="s">
        <v>1294</v>
      </c>
      <c r="J37" s="18"/>
      <c r="K37" s="18"/>
      <c r="M37" s="20" t="str">
        <f t="shared" si="0"/>
        <v>Actitis hypoleucos</v>
      </c>
    </row>
    <row r="38" spans="1:13" ht="15" customHeight="1" x14ac:dyDescent="0.2">
      <c r="A38" s="14" t="s">
        <v>31</v>
      </c>
      <c r="B38" s="15">
        <v>10993</v>
      </c>
      <c r="C38" s="16" t="s">
        <v>443</v>
      </c>
      <c r="D38" s="14" t="s">
        <v>1367</v>
      </c>
      <c r="E38" s="17" t="s">
        <v>1293</v>
      </c>
      <c r="F38" s="18" t="s">
        <v>662</v>
      </c>
      <c r="G38" s="18"/>
      <c r="H38" s="18" t="s">
        <v>547</v>
      </c>
      <c r="I38" s="14" t="s">
        <v>1294</v>
      </c>
      <c r="J38" s="18"/>
      <c r="K38" s="18"/>
      <c r="M38" s="20" t="str">
        <f t="shared" si="0"/>
        <v>Aegithalos caudatus</v>
      </c>
    </row>
    <row r="39" spans="1:13" ht="15" customHeight="1" x14ac:dyDescent="0.2">
      <c r="A39" s="14" t="s">
        <v>31</v>
      </c>
      <c r="B39" s="15">
        <v>11316</v>
      </c>
      <c r="C39" s="16" t="s">
        <v>1368</v>
      </c>
      <c r="D39" s="14" t="s">
        <v>1369</v>
      </c>
      <c r="E39" s="17" t="s">
        <v>1293</v>
      </c>
      <c r="F39" s="18" t="s">
        <v>1370</v>
      </c>
      <c r="G39" s="18"/>
      <c r="H39" s="18" t="s">
        <v>562</v>
      </c>
      <c r="I39" s="14" t="s">
        <v>1294</v>
      </c>
      <c r="J39" s="18"/>
      <c r="K39" s="18"/>
      <c r="M39" s="20" t="str">
        <f t="shared" si="0"/>
        <v>Aegolius funereus</v>
      </c>
    </row>
    <row r="40" spans="1:13" ht="15" customHeight="1" x14ac:dyDescent="0.2">
      <c r="A40" s="14" t="s">
        <v>31</v>
      </c>
      <c r="B40" s="15">
        <v>11768</v>
      </c>
      <c r="C40" s="16" t="s">
        <v>786</v>
      </c>
      <c r="D40" s="14" t="s">
        <v>1371</v>
      </c>
      <c r="E40" s="17" t="s">
        <v>1293</v>
      </c>
      <c r="F40" s="18" t="s">
        <v>787</v>
      </c>
      <c r="G40" s="18"/>
      <c r="H40" s="18" t="s">
        <v>562</v>
      </c>
      <c r="I40" s="14" t="s">
        <v>1294</v>
      </c>
      <c r="J40" s="18"/>
      <c r="K40" s="18"/>
      <c r="M40" s="20" t="str">
        <f t="shared" si="0"/>
        <v>Aegypius monachus</v>
      </c>
    </row>
    <row r="41" spans="1:13" ht="15" customHeight="1" x14ac:dyDescent="0.2">
      <c r="A41" s="14" t="s">
        <v>31</v>
      </c>
      <c r="B41" s="15">
        <v>14089</v>
      </c>
      <c r="C41" s="16" t="s">
        <v>1372</v>
      </c>
      <c r="D41" s="14" t="s">
        <v>1373</v>
      </c>
      <c r="E41" s="17" t="s">
        <v>1293</v>
      </c>
      <c r="F41" s="18" t="s">
        <v>919</v>
      </c>
      <c r="G41" s="18"/>
      <c r="H41" s="18" t="s">
        <v>547</v>
      </c>
      <c r="I41" s="14" t="s">
        <v>1294</v>
      </c>
      <c r="J41" s="18"/>
      <c r="K41" s="18"/>
      <c r="M41" s="20" t="str">
        <f t="shared" si="0"/>
        <v>Alca torda</v>
      </c>
    </row>
    <row r="42" spans="1:13" ht="15" customHeight="1" x14ac:dyDescent="0.2">
      <c r="A42" s="14" t="s">
        <v>31</v>
      </c>
      <c r="B42" s="15">
        <v>10794</v>
      </c>
      <c r="C42" s="16" t="s">
        <v>673</v>
      </c>
      <c r="D42" s="14" t="s">
        <v>1374</v>
      </c>
      <c r="E42" s="17" t="s">
        <v>1293</v>
      </c>
      <c r="F42" s="18" t="s">
        <v>674</v>
      </c>
      <c r="G42" s="18"/>
      <c r="H42" s="18" t="s">
        <v>547</v>
      </c>
      <c r="I42" s="14" t="s">
        <v>1294</v>
      </c>
      <c r="J42" s="18"/>
      <c r="K42" s="18"/>
      <c r="M42" s="20" t="str">
        <f t="shared" si="0"/>
        <v>Alcedo atthis</v>
      </c>
    </row>
    <row r="43" spans="1:13" ht="15" customHeight="1" x14ac:dyDescent="0.2">
      <c r="A43" s="14" t="s">
        <v>31</v>
      </c>
      <c r="B43" s="15">
        <v>10835</v>
      </c>
      <c r="C43" s="16" t="s">
        <v>1375</v>
      </c>
      <c r="D43" s="14" t="s">
        <v>1376</v>
      </c>
      <c r="E43" s="17" t="s">
        <v>1293</v>
      </c>
      <c r="F43" s="18" t="s">
        <v>1377</v>
      </c>
      <c r="G43" s="18"/>
      <c r="H43" s="18" t="s">
        <v>547</v>
      </c>
      <c r="I43" s="14" t="s">
        <v>1294</v>
      </c>
      <c r="J43" s="18"/>
      <c r="K43" s="18"/>
      <c r="M43" s="20" t="str">
        <f t="shared" si="0"/>
        <v>Anthus berthelotii</v>
      </c>
    </row>
    <row r="44" spans="1:13" ht="15" customHeight="1" x14ac:dyDescent="0.2">
      <c r="A44" s="14" t="s">
        <v>31</v>
      </c>
      <c r="B44" s="15">
        <v>10944</v>
      </c>
      <c r="C44" s="16" t="s">
        <v>605</v>
      </c>
      <c r="D44" s="14" t="s">
        <v>1378</v>
      </c>
      <c r="E44" s="17" t="s">
        <v>1293</v>
      </c>
      <c r="F44" s="18" t="s">
        <v>606</v>
      </c>
      <c r="G44" s="18"/>
      <c r="H44" s="18" t="s">
        <v>547</v>
      </c>
      <c r="I44" s="14" t="s">
        <v>1294</v>
      </c>
      <c r="J44" s="18"/>
      <c r="K44" s="18"/>
      <c r="M44" s="20" t="str">
        <f t="shared" si="0"/>
        <v>Anthus campestris</v>
      </c>
    </row>
    <row r="45" spans="1:13" ht="15" customHeight="1" x14ac:dyDescent="0.2">
      <c r="A45" s="14" t="s">
        <v>31</v>
      </c>
      <c r="B45" s="15">
        <v>16377</v>
      </c>
      <c r="C45" s="16" t="s">
        <v>1379</v>
      </c>
      <c r="D45" s="14" t="s">
        <v>1380</v>
      </c>
      <c r="E45" s="17" t="s">
        <v>1293</v>
      </c>
      <c r="F45" s="18" t="s">
        <v>1381</v>
      </c>
      <c r="G45" s="18"/>
      <c r="H45" s="18" t="s">
        <v>547</v>
      </c>
      <c r="I45" s="14" t="s">
        <v>1294</v>
      </c>
      <c r="J45" s="18"/>
      <c r="K45" s="18"/>
      <c r="M45" s="20" t="str">
        <f t="shared" si="0"/>
        <v>Anthus cervinus</v>
      </c>
    </row>
    <row r="46" spans="1:13" ht="15" customHeight="1" x14ac:dyDescent="0.2">
      <c r="A46" s="14" t="s">
        <v>31</v>
      </c>
      <c r="B46" s="15">
        <v>16379</v>
      </c>
      <c r="C46" s="16" t="s">
        <v>1382</v>
      </c>
      <c r="D46" s="14" t="s">
        <v>1383</v>
      </c>
      <c r="E46" s="17" t="s">
        <v>1293</v>
      </c>
      <c r="F46" s="18" t="s">
        <v>1384</v>
      </c>
      <c r="G46" s="18"/>
      <c r="H46" s="18" t="s">
        <v>547</v>
      </c>
      <c r="I46" s="14" t="s">
        <v>1294</v>
      </c>
      <c r="J46" s="18"/>
      <c r="K46" s="18"/>
      <c r="M46" s="20" t="str">
        <f t="shared" si="0"/>
        <v>Anthus petrosus</v>
      </c>
    </row>
    <row r="47" spans="1:13" ht="15" customHeight="1" x14ac:dyDescent="0.2">
      <c r="A47" s="14" t="s">
        <v>31</v>
      </c>
      <c r="B47" s="15">
        <v>12019</v>
      </c>
      <c r="C47" s="16" t="s">
        <v>948</v>
      </c>
      <c r="D47" s="14" t="s">
        <v>1385</v>
      </c>
      <c r="E47" s="17" t="s">
        <v>1293</v>
      </c>
      <c r="F47" s="18" t="s">
        <v>949</v>
      </c>
      <c r="G47" s="18"/>
      <c r="H47" s="18" t="s">
        <v>547</v>
      </c>
      <c r="I47" s="14" t="s">
        <v>1294</v>
      </c>
      <c r="J47" s="18"/>
      <c r="K47" s="18"/>
      <c r="M47" s="20" t="str">
        <f t="shared" si="0"/>
        <v>Anthus pratensis</v>
      </c>
    </row>
    <row r="48" spans="1:13" ht="15" customHeight="1" x14ac:dyDescent="0.2">
      <c r="A48" s="14" t="s">
        <v>31</v>
      </c>
      <c r="B48" s="15">
        <v>12231</v>
      </c>
      <c r="C48" s="16" t="s">
        <v>950</v>
      </c>
      <c r="D48" s="14" t="s">
        <v>1386</v>
      </c>
      <c r="E48" s="17" t="s">
        <v>1293</v>
      </c>
      <c r="F48" s="18" t="s">
        <v>951</v>
      </c>
      <c r="G48" s="18"/>
      <c r="H48" s="18" t="s">
        <v>547</v>
      </c>
      <c r="I48" s="14" t="s">
        <v>1294</v>
      </c>
      <c r="J48" s="18"/>
      <c r="K48" s="18"/>
      <c r="M48" s="20" t="str">
        <f t="shared" si="0"/>
        <v>Anthus spinoletta</v>
      </c>
    </row>
    <row r="49" spans="1:13" ht="15" customHeight="1" x14ac:dyDescent="0.2">
      <c r="A49" s="14" t="s">
        <v>31</v>
      </c>
      <c r="B49" s="15">
        <v>12336</v>
      </c>
      <c r="C49" s="16" t="s">
        <v>952</v>
      </c>
      <c r="D49" s="14" t="s">
        <v>1387</v>
      </c>
      <c r="E49" s="17" t="s">
        <v>1293</v>
      </c>
      <c r="F49" s="18" t="s">
        <v>953</v>
      </c>
      <c r="G49" s="18"/>
      <c r="H49" s="18" t="s">
        <v>547</v>
      </c>
      <c r="I49" s="14" t="s">
        <v>1294</v>
      </c>
      <c r="J49" s="18"/>
      <c r="K49" s="18"/>
      <c r="M49" s="20" t="str">
        <f t="shared" si="0"/>
        <v>Anthus trivialis</v>
      </c>
    </row>
    <row r="50" spans="1:13" ht="15" customHeight="1" x14ac:dyDescent="0.2">
      <c r="A50" s="14" t="s">
        <v>31</v>
      </c>
      <c r="B50" s="15">
        <v>10743</v>
      </c>
      <c r="C50" s="16" t="s">
        <v>331</v>
      </c>
      <c r="D50" s="14" t="s">
        <v>1388</v>
      </c>
      <c r="E50" s="17" t="s">
        <v>1293</v>
      </c>
      <c r="F50" s="18" t="s">
        <v>635</v>
      </c>
      <c r="G50" s="18"/>
      <c r="H50" s="18" t="s">
        <v>547</v>
      </c>
      <c r="I50" s="14" t="s">
        <v>1294</v>
      </c>
      <c r="J50" s="18"/>
      <c r="K50" s="18"/>
      <c r="M50" s="20" t="str">
        <f t="shared" si="0"/>
        <v>Apus apus</v>
      </c>
    </row>
    <row r="51" spans="1:13" ht="15" customHeight="1" x14ac:dyDescent="0.2">
      <c r="A51" s="14" t="s">
        <v>31</v>
      </c>
      <c r="B51" s="15">
        <v>10935</v>
      </c>
      <c r="C51" s="16" t="s">
        <v>935</v>
      </c>
      <c r="D51" s="14" t="s">
        <v>1389</v>
      </c>
      <c r="E51" s="17" t="s">
        <v>1293</v>
      </c>
      <c r="F51" s="18" t="s">
        <v>936</v>
      </c>
      <c r="G51" s="18"/>
      <c r="H51" s="18" t="s">
        <v>547</v>
      </c>
      <c r="I51" s="14" t="s">
        <v>1294</v>
      </c>
      <c r="J51" s="18"/>
      <c r="K51" s="18"/>
      <c r="M51" s="20" t="str">
        <f t="shared" si="0"/>
        <v>Apus caffer</v>
      </c>
    </row>
    <row r="52" spans="1:13" ht="15" customHeight="1" x14ac:dyDescent="0.2">
      <c r="A52" s="14" t="s">
        <v>31</v>
      </c>
      <c r="B52" s="15">
        <v>11930</v>
      </c>
      <c r="C52" s="16" t="s">
        <v>681</v>
      </c>
      <c r="D52" s="14" t="s">
        <v>1390</v>
      </c>
      <c r="E52" s="17" t="s">
        <v>1293</v>
      </c>
      <c r="F52" s="18" t="s">
        <v>682</v>
      </c>
      <c r="G52" s="18"/>
      <c r="H52" s="18" t="s">
        <v>547</v>
      </c>
      <c r="I52" s="14" t="s">
        <v>1294</v>
      </c>
      <c r="J52" s="18"/>
      <c r="K52" s="18"/>
      <c r="M52" s="20" t="str">
        <f t="shared" si="0"/>
        <v>Apus pallidus</v>
      </c>
    </row>
    <row r="53" spans="1:13" ht="15" customHeight="1" x14ac:dyDescent="0.2">
      <c r="A53" s="14" t="s">
        <v>31</v>
      </c>
      <c r="B53" s="15">
        <v>12365</v>
      </c>
      <c r="C53" s="16" t="s">
        <v>1391</v>
      </c>
      <c r="D53" s="14" t="s">
        <v>1392</v>
      </c>
      <c r="E53" s="17" t="s">
        <v>1293</v>
      </c>
      <c r="F53" s="18" t="s">
        <v>1393</v>
      </c>
      <c r="G53" s="18"/>
      <c r="H53" s="18" t="s">
        <v>547</v>
      </c>
      <c r="I53" s="14" t="s">
        <v>1294</v>
      </c>
      <c r="J53" s="18"/>
      <c r="K53" s="18"/>
      <c r="M53" s="20" t="str">
        <f t="shared" si="0"/>
        <v>Apus unicolor</v>
      </c>
    </row>
    <row r="54" spans="1:13" ht="15" customHeight="1" x14ac:dyDescent="0.2">
      <c r="A54" s="14" t="s">
        <v>31</v>
      </c>
      <c r="B54" s="15">
        <v>11014</v>
      </c>
      <c r="C54" s="16" t="s">
        <v>1394</v>
      </c>
      <c r="D54" s="14" t="s">
        <v>1395</v>
      </c>
      <c r="E54" s="17" t="s">
        <v>1293</v>
      </c>
      <c r="F54" s="18" t="s">
        <v>788</v>
      </c>
      <c r="G54" s="18"/>
      <c r="H54" s="18" t="s">
        <v>1300</v>
      </c>
      <c r="I54" s="14" t="s">
        <v>1294</v>
      </c>
      <c r="J54" s="18"/>
      <c r="K54" s="18"/>
      <c r="M54" s="20" t="str">
        <f t="shared" si="0"/>
        <v>Aquila adalberti</v>
      </c>
    </row>
    <row r="55" spans="1:13" ht="15" customHeight="1" x14ac:dyDescent="0.2">
      <c r="A55" s="14" t="s">
        <v>31</v>
      </c>
      <c r="B55" s="15">
        <v>10888</v>
      </c>
      <c r="C55" s="16" t="s">
        <v>789</v>
      </c>
      <c r="D55" s="14" t="s">
        <v>1396</v>
      </c>
      <c r="E55" s="17" t="s">
        <v>1293</v>
      </c>
      <c r="F55" s="18" t="s">
        <v>790</v>
      </c>
      <c r="G55" s="18"/>
      <c r="H55" s="18" t="s">
        <v>547</v>
      </c>
      <c r="I55" s="14" t="s">
        <v>1294</v>
      </c>
      <c r="J55" s="18"/>
      <c r="K55" s="18"/>
      <c r="M55" s="20" t="str">
        <f t="shared" si="0"/>
        <v>Aquila chrysaetos</v>
      </c>
    </row>
    <row r="56" spans="1:13" ht="15" customHeight="1" x14ac:dyDescent="0.2">
      <c r="A56" s="14" t="s">
        <v>31</v>
      </c>
      <c r="B56" s="15">
        <v>10896</v>
      </c>
      <c r="C56" s="16" t="s">
        <v>745</v>
      </c>
      <c r="D56" s="15" t="s">
        <v>1397</v>
      </c>
      <c r="E56" s="17" t="s">
        <v>1293</v>
      </c>
      <c r="F56" s="18" t="s">
        <v>746</v>
      </c>
      <c r="G56" s="18"/>
      <c r="H56" s="18" t="s">
        <v>547</v>
      </c>
      <c r="I56" s="14" t="s">
        <v>1294</v>
      </c>
      <c r="J56" s="18"/>
      <c r="K56" s="18"/>
      <c r="M56" s="20" t="str">
        <f t="shared" si="0"/>
        <v>Ardea cinerea</v>
      </c>
    </row>
    <row r="57" spans="1:13" ht="12.75" customHeight="1" x14ac:dyDescent="0.2">
      <c r="A57" s="14" t="s">
        <v>31</v>
      </c>
      <c r="B57" s="15">
        <v>12041</v>
      </c>
      <c r="C57" s="16" t="s">
        <v>747</v>
      </c>
      <c r="D57" s="14" t="s">
        <v>1398</v>
      </c>
      <c r="E57" s="17" t="s">
        <v>1293</v>
      </c>
      <c r="F57" s="18" t="s">
        <v>748</v>
      </c>
      <c r="G57" s="18"/>
      <c r="H57" s="18" t="s">
        <v>547</v>
      </c>
      <c r="I57" s="14" t="s">
        <v>1294</v>
      </c>
      <c r="J57" s="18"/>
      <c r="K57" s="18"/>
      <c r="M57" s="20" t="str">
        <f t="shared" si="0"/>
        <v>Ardea purpurea</v>
      </c>
    </row>
    <row r="58" spans="1:13" ht="15" customHeight="1" x14ac:dyDescent="0.2">
      <c r="A58" s="14" t="s">
        <v>31</v>
      </c>
      <c r="B58" s="15">
        <v>12081</v>
      </c>
      <c r="C58" s="16" t="s">
        <v>1399</v>
      </c>
      <c r="D58" s="14" t="s">
        <v>1400</v>
      </c>
      <c r="E58" s="17" t="s">
        <v>1293</v>
      </c>
      <c r="F58" s="18" t="s">
        <v>749</v>
      </c>
      <c r="G58" s="18"/>
      <c r="H58" s="18" t="s">
        <v>562</v>
      </c>
      <c r="I58" s="14" t="s">
        <v>1294</v>
      </c>
      <c r="J58" s="18"/>
      <c r="K58" s="18"/>
      <c r="M58" s="20" t="str">
        <f t="shared" si="0"/>
        <v>Ardeola ralloides</v>
      </c>
    </row>
    <row r="59" spans="1:13" ht="12.75" customHeight="1" x14ac:dyDescent="0.2">
      <c r="A59" s="14" t="s">
        <v>31</v>
      </c>
      <c r="B59" s="15">
        <v>11519</v>
      </c>
      <c r="C59" s="16" t="s">
        <v>848</v>
      </c>
      <c r="D59" s="14" t="s">
        <v>1401</v>
      </c>
      <c r="E59" s="17" t="s">
        <v>1293</v>
      </c>
      <c r="F59" s="18" t="s">
        <v>849</v>
      </c>
      <c r="G59" s="18"/>
      <c r="H59" s="18" t="s">
        <v>547</v>
      </c>
      <c r="I59" s="14" t="s">
        <v>1294</v>
      </c>
      <c r="J59" s="18"/>
      <c r="K59" s="18"/>
      <c r="M59" s="20" t="str">
        <f t="shared" si="0"/>
        <v>Arenaria interpres</v>
      </c>
    </row>
    <row r="60" spans="1:13" s="27" customFormat="1" ht="15" customHeight="1" x14ac:dyDescent="0.2">
      <c r="A60" s="14" t="s">
        <v>31</v>
      </c>
      <c r="B60" s="15">
        <v>11273</v>
      </c>
      <c r="C60" s="16" t="s">
        <v>930</v>
      </c>
      <c r="D60" s="14" t="s">
        <v>1402</v>
      </c>
      <c r="E60" s="17" t="s">
        <v>1293</v>
      </c>
      <c r="F60" s="18" t="s">
        <v>931</v>
      </c>
      <c r="G60" s="18"/>
      <c r="H60" s="18" t="s">
        <v>547</v>
      </c>
      <c r="I60" s="14" t="s">
        <v>1294</v>
      </c>
      <c r="J60" s="18"/>
      <c r="K60" s="18"/>
      <c r="M60" s="20" t="str">
        <f t="shared" si="0"/>
        <v>Asio flammeus</v>
      </c>
    </row>
    <row r="61" spans="1:13" s="27" customFormat="1" ht="15" customHeight="1" x14ac:dyDescent="0.2">
      <c r="A61" s="14" t="s">
        <v>31</v>
      </c>
      <c r="B61" s="15">
        <v>11921</v>
      </c>
      <c r="C61" s="16" t="s">
        <v>413</v>
      </c>
      <c r="D61" s="14" t="s">
        <v>1403</v>
      </c>
      <c r="E61" s="17" t="s">
        <v>1293</v>
      </c>
      <c r="F61" s="18" t="s">
        <v>932</v>
      </c>
      <c r="G61" s="18"/>
      <c r="H61" s="18" t="s">
        <v>547</v>
      </c>
      <c r="I61" s="14" t="s">
        <v>1294</v>
      </c>
      <c r="J61" s="18"/>
      <c r="K61" s="18"/>
      <c r="M61" s="20" t="str">
        <f t="shared" si="0"/>
        <v>Asio otus</v>
      </c>
    </row>
    <row r="62" spans="1:13" ht="15" customHeight="1" x14ac:dyDescent="0.2">
      <c r="A62" s="14" t="s">
        <v>31</v>
      </c>
      <c r="B62" s="15">
        <v>11861</v>
      </c>
      <c r="C62" s="16" t="s">
        <v>482</v>
      </c>
      <c r="D62" s="14" t="s">
        <v>1404</v>
      </c>
      <c r="E62" s="17" t="s">
        <v>1293</v>
      </c>
      <c r="F62" s="18" t="s">
        <v>933</v>
      </c>
      <c r="G62" s="18"/>
      <c r="H62" s="18" t="s">
        <v>547</v>
      </c>
      <c r="I62" s="14" t="s">
        <v>1294</v>
      </c>
      <c r="J62" s="18"/>
      <c r="K62" s="18"/>
      <c r="M62" s="20" t="str">
        <f t="shared" si="0"/>
        <v>Athene noctua</v>
      </c>
    </row>
    <row r="63" spans="1:13" ht="15" customHeight="1" x14ac:dyDescent="0.2">
      <c r="A63" s="14" t="s">
        <v>31</v>
      </c>
      <c r="B63" s="15">
        <v>16270</v>
      </c>
      <c r="C63" s="16" t="s">
        <v>769</v>
      </c>
      <c r="D63" s="14" t="s">
        <v>1405</v>
      </c>
      <c r="E63" s="17" t="s">
        <v>1293</v>
      </c>
      <c r="F63" s="18" t="s">
        <v>770</v>
      </c>
      <c r="G63" s="18"/>
      <c r="H63" s="18" t="s">
        <v>547</v>
      </c>
      <c r="I63" s="14" t="s">
        <v>1294</v>
      </c>
      <c r="J63" s="18"/>
      <c r="K63" s="18"/>
      <c r="M63" s="20" t="str">
        <f t="shared" si="0"/>
        <v>Aythya marila</v>
      </c>
    </row>
    <row r="64" spans="1:13" ht="15" customHeight="1" x14ac:dyDescent="0.2">
      <c r="A64" s="14" t="s">
        <v>31</v>
      </c>
      <c r="B64" s="15">
        <v>11871</v>
      </c>
      <c r="C64" s="16" t="s">
        <v>1406</v>
      </c>
      <c r="D64" s="14" t="s">
        <v>1407</v>
      </c>
      <c r="E64" s="17" t="s">
        <v>1293</v>
      </c>
      <c r="F64" s="18" t="s">
        <v>771</v>
      </c>
      <c r="G64" s="18"/>
      <c r="H64" s="18" t="s">
        <v>1300</v>
      </c>
      <c r="I64" s="14" t="s">
        <v>1294</v>
      </c>
      <c r="J64" s="18"/>
      <c r="K64" s="18"/>
      <c r="M64" s="20" t="str">
        <f t="shared" si="0"/>
        <v>Aythya nyroca</v>
      </c>
    </row>
    <row r="65" spans="1:13" ht="15" customHeight="1" x14ac:dyDescent="0.2">
      <c r="A65" s="14" t="s">
        <v>31</v>
      </c>
      <c r="B65" s="15">
        <v>16275</v>
      </c>
      <c r="C65" s="16" t="s">
        <v>1408</v>
      </c>
      <c r="D65" s="15" t="s">
        <v>1409</v>
      </c>
      <c r="E65" s="17" t="s">
        <v>1293</v>
      </c>
      <c r="F65" s="18" t="s">
        <v>1410</v>
      </c>
      <c r="G65" s="18"/>
      <c r="H65" s="18" t="s">
        <v>547</v>
      </c>
      <c r="I65" s="14" t="s">
        <v>1411</v>
      </c>
      <c r="J65" s="18"/>
      <c r="K65" s="18"/>
      <c r="M65" s="20" t="str">
        <f t="shared" si="0"/>
        <v>Bonasa bonasia</v>
      </c>
    </row>
    <row r="66" spans="1:13" ht="15" customHeight="1" x14ac:dyDescent="0.2">
      <c r="A66" s="14" t="s">
        <v>31</v>
      </c>
      <c r="B66" s="15">
        <v>12243</v>
      </c>
      <c r="C66" s="16" t="s">
        <v>1412</v>
      </c>
      <c r="D66" s="14" t="s">
        <v>1413</v>
      </c>
      <c r="E66" s="17" t="s">
        <v>1293</v>
      </c>
      <c r="F66" s="18" t="s">
        <v>752</v>
      </c>
      <c r="G66" s="18"/>
      <c r="H66" s="18" t="s">
        <v>1300</v>
      </c>
      <c r="I66" s="14" t="s">
        <v>1294</v>
      </c>
      <c r="J66" s="18"/>
      <c r="K66" s="18"/>
      <c r="M66" s="20" t="str">
        <f t="shared" si="0"/>
        <v>Botaurus stellaris</v>
      </c>
    </row>
    <row r="67" spans="1:13" ht="15" customHeight="1" x14ac:dyDescent="0.2">
      <c r="A67" s="14" t="s">
        <v>31</v>
      </c>
      <c r="B67" s="15">
        <v>16260</v>
      </c>
      <c r="C67" s="16" t="s">
        <v>772</v>
      </c>
      <c r="D67" s="14" t="s">
        <v>1414</v>
      </c>
      <c r="E67" s="17" t="s">
        <v>1293</v>
      </c>
      <c r="F67" s="18" t="s">
        <v>773</v>
      </c>
      <c r="G67" s="18"/>
      <c r="H67" s="18" t="s">
        <v>547</v>
      </c>
      <c r="I67" s="14" t="s">
        <v>1294</v>
      </c>
      <c r="J67" s="18"/>
      <c r="K67" s="18"/>
      <c r="M67" s="20" t="str">
        <f t="shared" ref="M67:M130" si="1">TRIM(C67)</f>
        <v>Branta bernicla</v>
      </c>
    </row>
    <row r="68" spans="1:13" ht="15" customHeight="1" x14ac:dyDescent="0.2">
      <c r="A68" s="14" t="s">
        <v>31</v>
      </c>
      <c r="B68" s="15">
        <v>16259</v>
      </c>
      <c r="C68" s="16" t="s">
        <v>774</v>
      </c>
      <c r="D68" s="14" t="s">
        <v>1415</v>
      </c>
      <c r="E68" s="17" t="s">
        <v>1293</v>
      </c>
      <c r="F68" s="18" t="s">
        <v>775</v>
      </c>
      <c r="G68" s="18"/>
      <c r="H68" s="18" t="s">
        <v>547</v>
      </c>
      <c r="I68" s="14" t="s">
        <v>1294</v>
      </c>
      <c r="J68" s="18"/>
      <c r="K68" s="18"/>
      <c r="M68" s="20" t="str">
        <f t="shared" si="1"/>
        <v>Branta leucopsis</v>
      </c>
    </row>
    <row r="69" spans="1:13" ht="12.75" customHeight="1" x14ac:dyDescent="0.2">
      <c r="A69" s="14" t="s">
        <v>31</v>
      </c>
      <c r="B69" s="15">
        <v>10917</v>
      </c>
      <c r="C69" s="16" t="s">
        <v>382</v>
      </c>
      <c r="D69" s="14" t="s">
        <v>1416</v>
      </c>
      <c r="E69" s="17" t="s">
        <v>1293</v>
      </c>
      <c r="F69" s="18" t="s">
        <v>644</v>
      </c>
      <c r="G69" s="18"/>
      <c r="H69" s="18" t="s">
        <v>547</v>
      </c>
      <c r="I69" s="14" t="s">
        <v>1294</v>
      </c>
      <c r="J69" s="18"/>
      <c r="K69" s="18"/>
      <c r="M69" s="20" t="str">
        <f t="shared" si="1"/>
        <v>Bubo bubo</v>
      </c>
    </row>
    <row r="70" spans="1:13" ht="15.75" customHeight="1" x14ac:dyDescent="0.2">
      <c r="A70" s="14" t="s">
        <v>31</v>
      </c>
      <c r="B70" s="15">
        <v>11496</v>
      </c>
      <c r="C70" s="16" t="s">
        <v>750</v>
      </c>
      <c r="D70" s="14" t="s">
        <v>1417</v>
      </c>
      <c r="E70" s="17" t="s">
        <v>1293</v>
      </c>
      <c r="F70" s="18" t="s">
        <v>751</v>
      </c>
      <c r="G70" s="18"/>
      <c r="H70" s="18" t="s">
        <v>547</v>
      </c>
      <c r="I70" s="14" t="s">
        <v>1294</v>
      </c>
      <c r="J70" s="18"/>
      <c r="K70" s="18"/>
      <c r="M70" s="20" t="str">
        <f t="shared" si="1"/>
        <v>Bubulcus ibis</v>
      </c>
    </row>
    <row r="71" spans="1:13" ht="15" customHeight="1" x14ac:dyDescent="0.2">
      <c r="A71" s="14" t="s">
        <v>31</v>
      </c>
      <c r="B71" s="15">
        <v>11365</v>
      </c>
      <c r="C71" s="16" t="s">
        <v>1012</v>
      </c>
      <c r="D71" s="14" t="s">
        <v>1418</v>
      </c>
      <c r="E71" s="17" t="s">
        <v>1293</v>
      </c>
      <c r="F71" s="18" t="s">
        <v>1013</v>
      </c>
      <c r="G71" s="18"/>
      <c r="H71" s="18" t="s">
        <v>547</v>
      </c>
      <c r="I71" s="14" t="s">
        <v>1294</v>
      </c>
      <c r="J71" s="18"/>
      <c r="K71" s="18"/>
      <c r="M71" s="20" t="str">
        <f t="shared" si="1"/>
        <v>Bucanetes githagineus</v>
      </c>
    </row>
    <row r="72" spans="1:13" ht="15" customHeight="1" x14ac:dyDescent="0.2">
      <c r="A72" s="14" t="s">
        <v>31</v>
      </c>
      <c r="B72" s="15">
        <v>13992</v>
      </c>
      <c r="C72" s="16" t="s">
        <v>1419</v>
      </c>
      <c r="D72" s="14" t="s">
        <v>1420</v>
      </c>
      <c r="E72" s="17" t="s">
        <v>1293</v>
      </c>
      <c r="F72" s="18" t="s">
        <v>1421</v>
      </c>
      <c r="G72" s="18"/>
      <c r="H72" s="18" t="s">
        <v>547</v>
      </c>
      <c r="I72" s="14" t="s">
        <v>1294</v>
      </c>
      <c r="J72" s="18"/>
      <c r="K72" s="18"/>
      <c r="M72" s="20" t="str">
        <f t="shared" si="1"/>
        <v>Bucephala clangula</v>
      </c>
    </row>
    <row r="73" spans="1:13" ht="15" customHeight="1" x14ac:dyDescent="0.2">
      <c r="A73" s="14" t="s">
        <v>31</v>
      </c>
      <c r="B73" s="15">
        <v>14010</v>
      </c>
      <c r="C73" s="16" t="s">
        <v>1422</v>
      </c>
      <c r="D73" s="14" t="s">
        <v>1423</v>
      </c>
      <c r="E73" s="17" t="s">
        <v>1293</v>
      </c>
      <c r="F73" s="18" t="s">
        <v>1424</v>
      </c>
      <c r="G73" s="18"/>
      <c r="H73" s="18" t="s">
        <v>547</v>
      </c>
      <c r="I73" s="14" t="s">
        <v>1294</v>
      </c>
      <c r="J73" s="18"/>
      <c r="K73" s="18"/>
      <c r="M73" s="20" t="str">
        <f t="shared" si="1"/>
        <v>Bulweria bulwerii</v>
      </c>
    </row>
    <row r="74" spans="1:13" s="25" customFormat="1" ht="15" customHeight="1" x14ac:dyDescent="0.2">
      <c r="A74" s="15" t="s">
        <v>31</v>
      </c>
      <c r="B74" s="15">
        <v>11889</v>
      </c>
      <c r="C74" s="21" t="s">
        <v>1425</v>
      </c>
      <c r="D74" s="21" t="s">
        <v>1426</v>
      </c>
      <c r="E74" s="23" t="s">
        <v>1318</v>
      </c>
      <c r="F74" s="24" t="s">
        <v>1427</v>
      </c>
      <c r="G74" s="24" t="s">
        <v>1428</v>
      </c>
      <c r="H74" s="24" t="s">
        <v>562</v>
      </c>
      <c r="I74" s="15" t="s">
        <v>1294</v>
      </c>
      <c r="J74" s="24"/>
      <c r="K74" s="24"/>
      <c r="M74" s="20" t="str">
        <f t="shared" si="1"/>
        <v>Burhinus oedicnemus distinctus</v>
      </c>
    </row>
    <row r="75" spans="1:13" s="25" customFormat="1" ht="39" customHeight="1" x14ac:dyDescent="0.25">
      <c r="A75" s="15" t="s">
        <v>31</v>
      </c>
      <c r="B75" s="15">
        <v>11888</v>
      </c>
      <c r="C75" s="21" t="s">
        <v>1429</v>
      </c>
      <c r="D75" s="15" t="s">
        <v>1430</v>
      </c>
      <c r="E75" s="24" t="s">
        <v>1318</v>
      </c>
      <c r="F75" s="24" t="s">
        <v>1431</v>
      </c>
      <c r="G75" s="24" t="s">
        <v>1432</v>
      </c>
      <c r="H75" s="24" t="s">
        <v>547</v>
      </c>
      <c r="I75" s="15" t="s">
        <v>1294</v>
      </c>
      <c r="J75" s="24"/>
      <c r="K75" s="15" t="s">
        <v>1433</v>
      </c>
      <c r="M75" s="20" t="str">
        <f t="shared" si="1"/>
        <v>Burhinus oedicnemus oedicnemus/insularum</v>
      </c>
    </row>
    <row r="76" spans="1:13" s="25" customFormat="1" ht="43.5" customHeight="1" x14ac:dyDescent="0.25">
      <c r="A76" s="15" t="s">
        <v>31</v>
      </c>
      <c r="B76" s="15">
        <v>28443</v>
      </c>
      <c r="C76" s="21" t="s">
        <v>1429</v>
      </c>
      <c r="D76" s="15" t="s">
        <v>1434</v>
      </c>
      <c r="E76" s="24" t="s">
        <v>1318</v>
      </c>
      <c r="F76" s="24" t="s">
        <v>835</v>
      </c>
      <c r="G76" s="24" t="s">
        <v>1435</v>
      </c>
      <c r="H76" s="24" t="s">
        <v>547</v>
      </c>
      <c r="I76" s="15" t="s">
        <v>1294</v>
      </c>
      <c r="J76" s="24"/>
      <c r="K76" s="21" t="s">
        <v>1436</v>
      </c>
      <c r="M76" s="20" t="str">
        <f t="shared" si="1"/>
        <v>Burhinus oedicnemus oedicnemus/insularum</v>
      </c>
    </row>
    <row r="77" spans="1:13" ht="15" customHeight="1" x14ac:dyDescent="0.2">
      <c r="A77" s="14" t="s">
        <v>31</v>
      </c>
      <c r="B77" s="15">
        <v>10922</v>
      </c>
      <c r="C77" s="16" t="s">
        <v>135</v>
      </c>
      <c r="D77" s="14" t="s">
        <v>1437</v>
      </c>
      <c r="E77" s="17" t="s">
        <v>1293</v>
      </c>
      <c r="F77" s="18" t="s">
        <v>582</v>
      </c>
      <c r="G77" s="18"/>
      <c r="H77" s="18" t="s">
        <v>547</v>
      </c>
      <c r="I77" s="14" t="s">
        <v>1294</v>
      </c>
      <c r="J77" s="18"/>
      <c r="K77" s="18"/>
      <c r="M77" s="20" t="str">
        <f t="shared" si="1"/>
        <v>Buteo buteo</v>
      </c>
    </row>
    <row r="78" spans="1:13" ht="15" customHeight="1" x14ac:dyDescent="0.2">
      <c r="A78" s="14" t="s">
        <v>31</v>
      </c>
      <c r="B78" s="15">
        <v>10734</v>
      </c>
      <c r="C78" s="16" t="s">
        <v>496</v>
      </c>
      <c r="D78" s="14" t="s">
        <v>1438</v>
      </c>
      <c r="E78" s="17" t="s">
        <v>1293</v>
      </c>
      <c r="F78" s="18" t="s">
        <v>940</v>
      </c>
      <c r="G78" s="18"/>
      <c r="H78" s="18" t="s">
        <v>547</v>
      </c>
      <c r="I78" s="14" t="s">
        <v>1294</v>
      </c>
      <c r="J78" s="18"/>
      <c r="K78" s="18"/>
      <c r="M78" s="20" t="str">
        <f t="shared" si="1"/>
        <v>Calandrella brachydactyla</v>
      </c>
    </row>
    <row r="79" spans="1:13" ht="15" customHeight="1" x14ac:dyDescent="0.2">
      <c r="A79" s="14" t="s">
        <v>31</v>
      </c>
      <c r="B79" s="15">
        <v>33007</v>
      </c>
      <c r="C79" s="16" t="s">
        <v>941</v>
      </c>
      <c r="D79" s="15" t="s">
        <v>1439</v>
      </c>
      <c r="E79" s="17" t="s">
        <v>1293</v>
      </c>
      <c r="F79" s="18" t="s">
        <v>942</v>
      </c>
      <c r="G79" s="18"/>
      <c r="H79" s="18" t="s">
        <v>547</v>
      </c>
      <c r="I79" s="14" t="s">
        <v>1294</v>
      </c>
      <c r="J79" s="18"/>
      <c r="K79" s="18"/>
      <c r="M79" s="20" t="str">
        <f t="shared" si="1"/>
        <v>Calandrella rufescens</v>
      </c>
    </row>
    <row r="80" spans="1:13" ht="15" customHeight="1" x14ac:dyDescent="0.2">
      <c r="A80" s="14" t="s">
        <v>31</v>
      </c>
      <c r="B80" s="15">
        <v>10649</v>
      </c>
      <c r="C80" s="16" t="s">
        <v>850</v>
      </c>
      <c r="D80" s="14" t="s">
        <v>1440</v>
      </c>
      <c r="E80" s="17" t="s">
        <v>1293</v>
      </c>
      <c r="F80" s="18" t="s">
        <v>851</v>
      </c>
      <c r="G80" s="18"/>
      <c r="H80" s="18" t="s">
        <v>547</v>
      </c>
      <c r="I80" s="14" t="s">
        <v>1294</v>
      </c>
      <c r="J80" s="18"/>
      <c r="K80" s="18"/>
      <c r="M80" s="20" t="str">
        <f t="shared" si="1"/>
        <v>Calidris alba</v>
      </c>
    </row>
    <row r="81" spans="1:13" ht="15" customHeight="1" x14ac:dyDescent="0.2">
      <c r="A81" s="14" t="s">
        <v>31</v>
      </c>
      <c r="B81" s="15">
        <v>10678</v>
      </c>
      <c r="C81" s="16" t="s">
        <v>852</v>
      </c>
      <c r="D81" s="14" t="s">
        <v>1441</v>
      </c>
      <c r="E81" s="17" t="s">
        <v>1293</v>
      </c>
      <c r="F81" s="18" t="s">
        <v>853</v>
      </c>
      <c r="G81" s="18"/>
      <c r="H81" s="18" t="s">
        <v>547</v>
      </c>
      <c r="I81" s="14" t="s">
        <v>1294</v>
      </c>
      <c r="J81" s="18"/>
      <c r="K81" s="18"/>
      <c r="M81" s="20" t="str">
        <f t="shared" si="1"/>
        <v>Calidris alpina</v>
      </c>
    </row>
    <row r="82" spans="1:13" ht="15" customHeight="1" x14ac:dyDescent="0.2">
      <c r="A82" s="14" t="s">
        <v>31</v>
      </c>
      <c r="B82" s="15">
        <v>10957</v>
      </c>
      <c r="C82" s="16" t="s">
        <v>854</v>
      </c>
      <c r="D82" s="14" t="s">
        <v>1442</v>
      </c>
      <c r="E82" s="17" t="s">
        <v>1293</v>
      </c>
      <c r="F82" s="18" t="s">
        <v>855</v>
      </c>
      <c r="G82" s="18"/>
      <c r="H82" s="18" t="s">
        <v>547</v>
      </c>
      <c r="I82" s="14" t="s">
        <v>1294</v>
      </c>
      <c r="J82" s="18"/>
      <c r="K82" s="18"/>
      <c r="M82" s="20" t="str">
        <f t="shared" si="1"/>
        <v>Calidris canutus</v>
      </c>
    </row>
    <row r="83" spans="1:13" ht="15" customHeight="1" x14ac:dyDescent="0.2">
      <c r="A83" s="14" t="s">
        <v>31</v>
      </c>
      <c r="B83" s="15">
        <v>11262</v>
      </c>
      <c r="C83" s="16" t="s">
        <v>856</v>
      </c>
      <c r="D83" s="14" t="s">
        <v>1443</v>
      </c>
      <c r="E83" s="17" t="s">
        <v>1293</v>
      </c>
      <c r="F83" s="18" t="s">
        <v>857</v>
      </c>
      <c r="G83" s="18"/>
      <c r="H83" s="18" t="s">
        <v>547</v>
      </c>
      <c r="I83" s="14" t="s">
        <v>1294</v>
      </c>
      <c r="J83" s="18"/>
      <c r="K83" s="18"/>
      <c r="M83" s="20" t="str">
        <f t="shared" si="1"/>
        <v>Calidris ferruginea</v>
      </c>
    </row>
    <row r="84" spans="1:13" ht="15" customHeight="1" x14ac:dyDescent="0.2">
      <c r="A84" s="14" t="s">
        <v>31</v>
      </c>
      <c r="B84" s="15">
        <v>16339</v>
      </c>
      <c r="C84" s="16" t="s">
        <v>858</v>
      </c>
      <c r="D84" s="14" t="s">
        <v>1444</v>
      </c>
      <c r="E84" s="17" t="s">
        <v>1293</v>
      </c>
      <c r="F84" s="18" t="s">
        <v>859</v>
      </c>
      <c r="G84" s="18"/>
      <c r="H84" s="18" t="s">
        <v>547</v>
      </c>
      <c r="I84" s="14" t="s">
        <v>1294</v>
      </c>
      <c r="J84" s="18"/>
      <c r="K84" s="18"/>
      <c r="M84" s="20" t="str">
        <f t="shared" si="1"/>
        <v>Calidris maritima</v>
      </c>
    </row>
    <row r="85" spans="1:13" ht="15" customHeight="1" x14ac:dyDescent="0.2">
      <c r="A85" s="14" t="s">
        <v>31</v>
      </c>
      <c r="B85" s="15">
        <v>11745</v>
      </c>
      <c r="C85" s="16" t="s">
        <v>860</v>
      </c>
      <c r="D85" s="15" t="s">
        <v>1445</v>
      </c>
      <c r="E85" s="17" t="s">
        <v>1293</v>
      </c>
      <c r="F85" s="18" t="s">
        <v>861</v>
      </c>
      <c r="G85" s="18"/>
      <c r="H85" s="18" t="s">
        <v>547</v>
      </c>
      <c r="I85" s="14" t="s">
        <v>1294</v>
      </c>
      <c r="J85" s="18"/>
      <c r="K85" s="18"/>
      <c r="M85" s="20" t="str">
        <f t="shared" si="1"/>
        <v>Calidris minuta</v>
      </c>
    </row>
    <row r="86" spans="1:13" s="25" customFormat="1" ht="39" customHeight="1" x14ac:dyDescent="0.25">
      <c r="A86" s="15" t="s">
        <v>31</v>
      </c>
      <c r="B86" s="15">
        <v>32348</v>
      </c>
      <c r="C86" s="28" t="s">
        <v>1446</v>
      </c>
      <c r="D86" s="15" t="s">
        <v>1447</v>
      </c>
      <c r="E86" s="24" t="s">
        <v>1293</v>
      </c>
      <c r="F86" s="24" t="s">
        <v>1448</v>
      </c>
      <c r="G86" s="24"/>
      <c r="H86" s="24" t="s">
        <v>547</v>
      </c>
      <c r="I86" s="15" t="s">
        <v>1449</v>
      </c>
      <c r="J86" s="29" t="s">
        <v>1450</v>
      </c>
      <c r="K86" s="30" t="s">
        <v>1451</v>
      </c>
      <c r="M86" s="20" t="str">
        <f t="shared" si="1"/>
        <v>Calonectris diomedea borealis</v>
      </c>
    </row>
    <row r="87" spans="1:13" s="25" customFormat="1" ht="15" customHeight="1" x14ac:dyDescent="0.2">
      <c r="A87" s="15" t="s">
        <v>31</v>
      </c>
      <c r="B87" s="15">
        <v>11166</v>
      </c>
      <c r="C87" s="21" t="s">
        <v>730</v>
      </c>
      <c r="D87" s="22" t="s">
        <v>1452</v>
      </c>
      <c r="E87" s="23" t="s">
        <v>1293</v>
      </c>
      <c r="F87" s="24" t="s">
        <v>731</v>
      </c>
      <c r="G87" s="24"/>
      <c r="H87" s="24" t="s">
        <v>562</v>
      </c>
      <c r="I87" s="15" t="s">
        <v>1294</v>
      </c>
      <c r="J87" s="24"/>
      <c r="K87" s="30" t="s">
        <v>1453</v>
      </c>
      <c r="M87" s="20" t="str">
        <f t="shared" si="1"/>
        <v>Calonectris diomedea diomedea</v>
      </c>
    </row>
    <row r="88" spans="1:13" ht="15" customHeight="1" x14ac:dyDescent="0.2">
      <c r="A88" s="14" t="s">
        <v>31</v>
      </c>
      <c r="B88" s="15">
        <v>16333</v>
      </c>
      <c r="C88" s="16" t="s">
        <v>862</v>
      </c>
      <c r="D88" s="15" t="s">
        <v>1454</v>
      </c>
      <c r="E88" s="17" t="s">
        <v>1293</v>
      </c>
      <c r="F88" s="18" t="s">
        <v>863</v>
      </c>
      <c r="G88" s="18"/>
      <c r="H88" s="18" t="s">
        <v>547</v>
      </c>
      <c r="I88" s="14" t="s">
        <v>1294</v>
      </c>
      <c r="J88" s="18"/>
      <c r="K88" s="18"/>
      <c r="M88" s="20" t="str">
        <f t="shared" si="1"/>
        <v>Calidris temminckii</v>
      </c>
    </row>
    <row r="89" spans="1:13" ht="15" customHeight="1" x14ac:dyDescent="0.2">
      <c r="A89" s="14" t="s">
        <v>31</v>
      </c>
      <c r="B89" s="15">
        <v>11229</v>
      </c>
      <c r="C89" s="16" t="s">
        <v>491</v>
      </c>
      <c r="D89" s="15" t="s">
        <v>1455</v>
      </c>
      <c r="E89" s="17" t="s">
        <v>1293</v>
      </c>
      <c r="F89" s="18" t="s">
        <v>934</v>
      </c>
      <c r="G89" s="18"/>
      <c r="H89" s="18" t="s">
        <v>547</v>
      </c>
      <c r="I89" s="14" t="s">
        <v>1294</v>
      </c>
      <c r="J89" s="18"/>
      <c r="K89" s="18"/>
      <c r="M89" s="20" t="str">
        <f t="shared" si="1"/>
        <v>Caprimulgus europaeus</v>
      </c>
    </row>
    <row r="90" spans="1:13" ht="15" customHeight="1" x14ac:dyDescent="0.2">
      <c r="A90" s="14" t="s">
        <v>31</v>
      </c>
      <c r="B90" s="15">
        <v>12122</v>
      </c>
      <c r="C90" s="16" t="s">
        <v>462</v>
      </c>
      <c r="D90" s="15" t="s">
        <v>1456</v>
      </c>
      <c r="E90" s="17" t="s">
        <v>1293</v>
      </c>
      <c r="F90" s="18" t="s">
        <v>668</v>
      </c>
      <c r="G90" s="18"/>
      <c r="H90" s="18" t="s">
        <v>547</v>
      </c>
      <c r="I90" s="14" t="s">
        <v>1294</v>
      </c>
      <c r="J90" s="18"/>
      <c r="K90" s="18"/>
      <c r="M90" s="20" t="str">
        <f t="shared" si="1"/>
        <v>Caprimulgus ruficollis</v>
      </c>
    </row>
    <row r="91" spans="1:13" ht="15" customHeight="1" x14ac:dyDescent="0.2">
      <c r="A91" s="14" t="s">
        <v>31</v>
      </c>
      <c r="B91" s="15">
        <v>33009</v>
      </c>
      <c r="C91" s="16" t="s">
        <v>1014</v>
      </c>
      <c r="D91" s="15" t="s">
        <v>1457</v>
      </c>
      <c r="E91" s="17" t="s">
        <v>1293</v>
      </c>
      <c r="F91" s="18" t="s">
        <v>1015</v>
      </c>
      <c r="G91" s="18"/>
      <c r="H91" s="18" t="s">
        <v>547</v>
      </c>
      <c r="I91" s="14" t="s">
        <v>1294</v>
      </c>
      <c r="J91" s="18"/>
      <c r="K91" s="18"/>
      <c r="M91" s="20" t="str">
        <f t="shared" si="1"/>
        <v>Carduelis spinus</v>
      </c>
    </row>
    <row r="92" spans="1:13" ht="15" customHeight="1" x14ac:dyDescent="0.2">
      <c r="A92" s="14" t="s">
        <v>31</v>
      </c>
      <c r="B92" s="15">
        <v>11327</v>
      </c>
      <c r="C92" s="16" t="s">
        <v>962</v>
      </c>
      <c r="D92" s="30" t="s">
        <v>1458</v>
      </c>
      <c r="E92" s="17" t="s">
        <v>1293</v>
      </c>
      <c r="F92" s="18" t="s">
        <v>963</v>
      </c>
      <c r="G92" s="18"/>
      <c r="H92" s="18" t="s">
        <v>562</v>
      </c>
      <c r="I92" s="14" t="s">
        <v>1294</v>
      </c>
      <c r="J92" s="18"/>
      <c r="K92" s="18"/>
      <c r="M92" s="20" t="str">
        <f t="shared" si="1"/>
        <v>Cercotrichas galactotes</v>
      </c>
    </row>
    <row r="93" spans="1:13" ht="15" customHeight="1" x14ac:dyDescent="0.2">
      <c r="A93" s="14" t="s">
        <v>31</v>
      </c>
      <c r="B93" s="15">
        <v>10733</v>
      </c>
      <c r="C93" s="16" t="s">
        <v>199</v>
      </c>
      <c r="D93" s="15" t="s">
        <v>1459</v>
      </c>
      <c r="E93" s="17" t="s">
        <v>1293</v>
      </c>
      <c r="F93" s="18" t="s">
        <v>592</v>
      </c>
      <c r="G93" s="18"/>
      <c r="H93" s="18" t="s">
        <v>547</v>
      </c>
      <c r="I93" s="14" t="s">
        <v>1294</v>
      </c>
      <c r="J93" s="18"/>
      <c r="K93" s="18"/>
      <c r="M93" s="20" t="str">
        <f t="shared" si="1"/>
        <v>Certhia brachydactyla</v>
      </c>
    </row>
    <row r="94" spans="1:13" ht="15" customHeight="1" x14ac:dyDescent="0.2">
      <c r="A94" s="14" t="s">
        <v>31</v>
      </c>
      <c r="B94" s="15">
        <v>11250</v>
      </c>
      <c r="C94" s="16" t="s">
        <v>1460</v>
      </c>
      <c r="D94" s="14" t="s">
        <v>1461</v>
      </c>
      <c r="E94" s="17" t="s">
        <v>1293</v>
      </c>
      <c r="F94" s="18" t="s">
        <v>1462</v>
      </c>
      <c r="G94" s="18"/>
      <c r="H94" s="18" t="s">
        <v>547</v>
      </c>
      <c r="I94" s="14" t="s">
        <v>1294</v>
      </c>
      <c r="J94" s="18"/>
      <c r="K94" s="18"/>
      <c r="M94" s="20" t="str">
        <f t="shared" si="1"/>
        <v>Certhia familiaris</v>
      </c>
    </row>
    <row r="95" spans="1:13" ht="15" customHeight="1" x14ac:dyDescent="0.2">
      <c r="A95" s="14" t="s">
        <v>31</v>
      </c>
      <c r="B95" s="15">
        <v>11003</v>
      </c>
      <c r="C95" s="16" t="s">
        <v>267</v>
      </c>
      <c r="D95" s="14" t="s">
        <v>1463</v>
      </c>
      <c r="E95" s="17" t="s">
        <v>1293</v>
      </c>
      <c r="F95" s="18" t="s">
        <v>613</v>
      </c>
      <c r="G95" s="18"/>
      <c r="H95" s="18" t="s">
        <v>547</v>
      </c>
      <c r="I95" s="14" t="s">
        <v>1294</v>
      </c>
      <c r="J95" s="18"/>
      <c r="K95" s="18"/>
      <c r="M95" s="20" t="str">
        <f t="shared" si="1"/>
        <v>Cettia cetti</v>
      </c>
    </row>
    <row r="96" spans="1:13" ht="15" customHeight="1" x14ac:dyDescent="0.2">
      <c r="A96" s="14" t="s">
        <v>31</v>
      </c>
      <c r="B96" s="15">
        <v>10664</v>
      </c>
      <c r="C96" s="16" t="s">
        <v>839</v>
      </c>
      <c r="D96" s="14" t="s">
        <v>1464</v>
      </c>
      <c r="E96" s="17" t="s">
        <v>1293</v>
      </c>
      <c r="F96" s="18" t="s">
        <v>840</v>
      </c>
      <c r="G96" s="18" t="s">
        <v>1324</v>
      </c>
      <c r="H96" s="18" t="s">
        <v>547</v>
      </c>
      <c r="I96" s="14" t="s">
        <v>1294</v>
      </c>
      <c r="J96" s="18"/>
      <c r="K96" s="18"/>
      <c r="M96" s="20" t="str">
        <f t="shared" si="1"/>
        <v>Charadrius alexandrinus</v>
      </c>
    </row>
    <row r="97" spans="1:13" ht="15" customHeight="1" x14ac:dyDescent="0.2">
      <c r="A97" s="14" t="s">
        <v>31</v>
      </c>
      <c r="B97" s="15">
        <v>10664</v>
      </c>
      <c r="C97" s="16" t="s">
        <v>839</v>
      </c>
      <c r="D97" s="14" t="s">
        <v>1464</v>
      </c>
      <c r="E97" s="17" t="s">
        <v>1293</v>
      </c>
      <c r="F97" s="18" t="s">
        <v>840</v>
      </c>
      <c r="G97" s="18" t="s">
        <v>1465</v>
      </c>
      <c r="H97" s="18" t="s">
        <v>562</v>
      </c>
      <c r="I97" s="14" t="s">
        <v>1294</v>
      </c>
      <c r="J97" s="18"/>
      <c r="K97" s="18"/>
      <c r="M97" s="20" t="str">
        <f t="shared" si="1"/>
        <v>Charadrius alexandrinus</v>
      </c>
    </row>
    <row r="98" spans="1:13" ht="15" customHeight="1" x14ac:dyDescent="0.2">
      <c r="A98" s="14" t="s">
        <v>31</v>
      </c>
      <c r="B98" s="15">
        <v>11179</v>
      </c>
      <c r="C98" s="16" t="s">
        <v>309</v>
      </c>
      <c r="D98" s="14" t="s">
        <v>1466</v>
      </c>
      <c r="E98" s="17" t="s">
        <v>1293</v>
      </c>
      <c r="F98" s="18" t="s">
        <v>627</v>
      </c>
      <c r="G98" s="18"/>
      <c r="H98" s="18" t="s">
        <v>547</v>
      </c>
      <c r="I98" s="14" t="s">
        <v>1294</v>
      </c>
      <c r="J98" s="18"/>
      <c r="K98" s="18"/>
      <c r="M98" s="20" t="str">
        <f t="shared" si="1"/>
        <v>Charadrius dubius</v>
      </c>
    </row>
    <row r="99" spans="1:13" ht="15" customHeight="1" x14ac:dyDescent="0.2">
      <c r="A99" s="14" t="s">
        <v>31</v>
      </c>
      <c r="B99" s="15">
        <v>11442</v>
      </c>
      <c r="C99" s="16" t="s">
        <v>841</v>
      </c>
      <c r="D99" s="14" t="s">
        <v>1467</v>
      </c>
      <c r="E99" s="17" t="s">
        <v>1293</v>
      </c>
      <c r="F99" s="18" t="s">
        <v>842</v>
      </c>
      <c r="G99" s="18"/>
      <c r="H99" s="18" t="s">
        <v>547</v>
      </c>
      <c r="I99" s="14" t="s">
        <v>1294</v>
      </c>
      <c r="J99" s="18"/>
      <c r="K99" s="18"/>
      <c r="M99" s="20" t="str">
        <f t="shared" si="1"/>
        <v>Charadrius hiaticula</v>
      </c>
    </row>
    <row r="100" spans="1:13" ht="15" customHeight="1" x14ac:dyDescent="0.2">
      <c r="A100" s="14" t="s">
        <v>31</v>
      </c>
      <c r="B100" s="15">
        <v>11787</v>
      </c>
      <c r="C100" s="16" t="s">
        <v>1468</v>
      </c>
      <c r="D100" s="14" t="s">
        <v>1469</v>
      </c>
      <c r="E100" s="17" t="s">
        <v>1293</v>
      </c>
      <c r="F100" s="18" t="s">
        <v>843</v>
      </c>
      <c r="G100" s="18"/>
      <c r="H100" s="18" t="s">
        <v>562</v>
      </c>
      <c r="I100" s="14" t="s">
        <v>1294</v>
      </c>
      <c r="J100" s="18"/>
      <c r="K100" s="18"/>
      <c r="M100" s="20" t="str">
        <f t="shared" si="1"/>
        <v>Charadrius (Eudromias) morinellus</v>
      </c>
    </row>
    <row r="101" spans="1:13" ht="15" customHeight="1" x14ac:dyDescent="0.2">
      <c r="A101" s="14" t="s">
        <v>31</v>
      </c>
      <c r="B101" s="15">
        <v>11182</v>
      </c>
      <c r="C101" s="16" t="s">
        <v>1470</v>
      </c>
      <c r="D101" s="14" t="s">
        <v>1471</v>
      </c>
      <c r="E101" s="17" t="s">
        <v>1293</v>
      </c>
      <c r="F101" s="18" t="s">
        <v>943</v>
      </c>
      <c r="G101" s="18"/>
      <c r="H101" s="18" t="s">
        <v>1300</v>
      </c>
      <c r="I101" s="14" t="s">
        <v>1472</v>
      </c>
      <c r="J101" s="18" t="s">
        <v>1473</v>
      </c>
      <c r="K101" s="18"/>
      <c r="M101" s="20" t="str">
        <f t="shared" si="1"/>
        <v>Chersophilus duponti</v>
      </c>
    </row>
    <row r="102" spans="1:13" ht="15" customHeight="1" x14ac:dyDescent="0.2">
      <c r="A102" s="14" t="s">
        <v>31</v>
      </c>
      <c r="B102" s="15">
        <v>12363</v>
      </c>
      <c r="C102" s="16" t="s">
        <v>1474</v>
      </c>
      <c r="D102" s="15" t="s">
        <v>1475</v>
      </c>
      <c r="E102" s="17" t="s">
        <v>1293</v>
      </c>
      <c r="F102" s="18" t="s">
        <v>1476</v>
      </c>
      <c r="G102" s="18"/>
      <c r="H102" s="18" t="s">
        <v>1300</v>
      </c>
      <c r="I102" s="14" t="s">
        <v>1294</v>
      </c>
      <c r="J102" s="18"/>
      <c r="K102" s="18"/>
      <c r="M102" s="20" t="str">
        <f t="shared" si="1"/>
        <v>Chlamydotis undulata</v>
      </c>
    </row>
    <row r="103" spans="1:13" ht="15" customHeight="1" x14ac:dyDescent="0.2">
      <c r="A103" s="14" t="s">
        <v>31</v>
      </c>
      <c r="B103" s="15">
        <v>14085</v>
      </c>
      <c r="C103" s="16" t="s">
        <v>904</v>
      </c>
      <c r="D103" s="15" t="s">
        <v>1477</v>
      </c>
      <c r="E103" s="17" t="s">
        <v>1293</v>
      </c>
      <c r="F103" s="18" t="s">
        <v>905</v>
      </c>
      <c r="G103" s="18"/>
      <c r="H103" s="18" t="s">
        <v>547</v>
      </c>
      <c r="I103" s="14" t="s">
        <v>1294</v>
      </c>
      <c r="J103" s="18"/>
      <c r="K103" s="18"/>
      <c r="M103" s="20" t="str">
        <f t="shared" si="1"/>
        <v>Chlidonias hybridus</v>
      </c>
    </row>
    <row r="104" spans="1:13" ht="15" customHeight="1" x14ac:dyDescent="0.2">
      <c r="A104" s="14" t="s">
        <v>31</v>
      </c>
      <c r="B104" s="15">
        <v>14087</v>
      </c>
      <c r="C104" s="16" t="s">
        <v>906</v>
      </c>
      <c r="D104" s="15" t="s">
        <v>1478</v>
      </c>
      <c r="E104" s="17" t="s">
        <v>1293</v>
      </c>
      <c r="F104" s="18" t="s">
        <v>907</v>
      </c>
      <c r="G104" s="18"/>
      <c r="H104" s="18" t="s">
        <v>547</v>
      </c>
      <c r="I104" s="14" t="s">
        <v>1294</v>
      </c>
      <c r="J104" s="18"/>
      <c r="K104" s="18"/>
      <c r="M104" s="20" t="str">
        <f t="shared" si="1"/>
        <v>Chlidonias leucopterus</v>
      </c>
    </row>
    <row r="105" spans="1:13" ht="15" customHeight="1" x14ac:dyDescent="0.2">
      <c r="A105" s="14" t="s">
        <v>31</v>
      </c>
      <c r="B105" s="15">
        <v>14086</v>
      </c>
      <c r="C105" s="16" t="s">
        <v>908</v>
      </c>
      <c r="D105" s="15" t="s">
        <v>1479</v>
      </c>
      <c r="E105" s="17" t="s">
        <v>1293</v>
      </c>
      <c r="F105" s="18" t="s">
        <v>909</v>
      </c>
      <c r="G105" s="18"/>
      <c r="H105" s="18" t="s">
        <v>1300</v>
      </c>
      <c r="I105" s="14" t="s">
        <v>1294</v>
      </c>
      <c r="J105" s="18"/>
      <c r="K105" s="18"/>
      <c r="M105" s="20" t="str">
        <f t="shared" si="1"/>
        <v>Chlidonias niger</v>
      </c>
    </row>
    <row r="106" spans="1:13" s="25" customFormat="1" ht="15" customHeight="1" x14ac:dyDescent="0.25">
      <c r="A106" s="15" t="s">
        <v>31</v>
      </c>
      <c r="B106" s="31">
        <v>11307</v>
      </c>
      <c r="C106" s="22" t="s">
        <v>1480</v>
      </c>
      <c r="D106" s="28" t="s">
        <v>1481</v>
      </c>
      <c r="E106" s="32" t="s">
        <v>1293</v>
      </c>
      <c r="F106" s="32" t="s">
        <v>1482</v>
      </c>
      <c r="G106" s="32"/>
      <c r="H106" s="32" t="s">
        <v>547</v>
      </c>
      <c r="I106" s="15" t="s">
        <v>1483</v>
      </c>
      <c r="J106" s="24"/>
      <c r="K106" s="24"/>
      <c r="M106" s="20" t="str">
        <f t="shared" si="1"/>
        <v>Corvus frugilegus Linnaeus, 1758</v>
      </c>
    </row>
    <row r="107" spans="1:13" ht="15" customHeight="1" x14ac:dyDescent="0.2">
      <c r="A107" s="14" t="s">
        <v>31</v>
      </c>
      <c r="B107" s="15">
        <v>16358</v>
      </c>
      <c r="C107" s="16" t="s">
        <v>894</v>
      </c>
      <c r="D107" s="15" t="s">
        <v>1484</v>
      </c>
      <c r="E107" s="17" t="s">
        <v>1293</v>
      </c>
      <c r="F107" s="18" t="s">
        <v>895</v>
      </c>
      <c r="G107" s="18"/>
      <c r="H107" s="18" t="s">
        <v>547</v>
      </c>
      <c r="I107" s="14" t="s">
        <v>1294</v>
      </c>
      <c r="J107" s="18"/>
      <c r="K107" s="18"/>
      <c r="M107" s="20" t="str">
        <f t="shared" si="1"/>
        <v>Larus genei</v>
      </c>
    </row>
    <row r="108" spans="1:13" ht="15" customHeight="1" x14ac:dyDescent="0.2">
      <c r="A108" s="14" t="s">
        <v>31</v>
      </c>
      <c r="B108" s="15">
        <v>10891</v>
      </c>
      <c r="C108" s="16" t="s">
        <v>390</v>
      </c>
      <c r="D108" s="15" t="s">
        <v>1485</v>
      </c>
      <c r="E108" s="17" t="s">
        <v>1293</v>
      </c>
      <c r="F108" s="18" t="s">
        <v>761</v>
      </c>
      <c r="G108" s="18"/>
      <c r="H108" s="18" t="s">
        <v>547</v>
      </c>
      <c r="I108" s="14" t="s">
        <v>1294</v>
      </c>
      <c r="J108" s="18"/>
      <c r="K108" s="18"/>
      <c r="M108" s="20" t="str">
        <f t="shared" si="1"/>
        <v>Ciconia ciconia</v>
      </c>
    </row>
    <row r="109" spans="1:13" ht="15" customHeight="1" x14ac:dyDescent="0.2">
      <c r="A109" s="14" t="s">
        <v>31</v>
      </c>
      <c r="B109" s="15">
        <v>11841</v>
      </c>
      <c r="C109" s="16" t="s">
        <v>1486</v>
      </c>
      <c r="D109" s="15" t="s">
        <v>1487</v>
      </c>
      <c r="E109" s="17" t="s">
        <v>1293</v>
      </c>
      <c r="F109" s="18" t="s">
        <v>762</v>
      </c>
      <c r="G109" s="18"/>
      <c r="H109" s="18" t="s">
        <v>562</v>
      </c>
      <c r="I109" s="14" t="s">
        <v>1294</v>
      </c>
      <c r="J109" s="18"/>
      <c r="K109" s="18"/>
      <c r="M109" s="20" t="str">
        <f t="shared" si="1"/>
        <v>Ciconia nigra</v>
      </c>
    </row>
    <row r="110" spans="1:13" ht="15" customHeight="1" x14ac:dyDescent="0.2">
      <c r="A110" s="14" t="s">
        <v>31</v>
      </c>
      <c r="B110" s="15">
        <v>10894</v>
      </c>
      <c r="C110" s="16" t="s">
        <v>956</v>
      </c>
      <c r="D110" s="15" t="s">
        <v>1488</v>
      </c>
      <c r="E110" s="17" t="s">
        <v>1293</v>
      </c>
      <c r="F110" s="18" t="s">
        <v>957</v>
      </c>
      <c r="G110" s="18"/>
      <c r="H110" s="18" t="s">
        <v>547</v>
      </c>
      <c r="I110" s="14" t="s">
        <v>1294</v>
      </c>
      <c r="J110" s="18"/>
      <c r="K110" s="18"/>
      <c r="M110" s="20" t="str">
        <f t="shared" si="1"/>
        <v>Cinclus cinclus</v>
      </c>
    </row>
    <row r="111" spans="1:13" ht="13.5" customHeight="1" x14ac:dyDescent="0.2">
      <c r="A111" s="14" t="s">
        <v>31</v>
      </c>
      <c r="B111" s="15">
        <v>11336</v>
      </c>
      <c r="C111" s="16" t="s">
        <v>632</v>
      </c>
      <c r="D111" s="15" t="s">
        <v>1489</v>
      </c>
      <c r="E111" s="17" t="s">
        <v>1293</v>
      </c>
      <c r="F111" s="18" t="s">
        <v>633</v>
      </c>
      <c r="G111" s="18"/>
      <c r="H111" s="18" t="s">
        <v>547</v>
      </c>
      <c r="I111" s="14" t="s">
        <v>1294</v>
      </c>
      <c r="J111" s="18"/>
      <c r="K111" s="18"/>
      <c r="M111" s="20" t="str">
        <f t="shared" si="1"/>
        <v>Circaetus gallicus</v>
      </c>
    </row>
    <row r="112" spans="1:13" ht="15" customHeight="1" x14ac:dyDescent="0.2">
      <c r="A112" s="14" t="s">
        <v>31</v>
      </c>
      <c r="B112" s="15">
        <v>11024</v>
      </c>
      <c r="C112" s="16" t="s">
        <v>89</v>
      </c>
      <c r="D112" s="15" t="s">
        <v>1490</v>
      </c>
      <c r="E112" s="17" t="s">
        <v>1293</v>
      </c>
      <c r="F112" s="18" t="s">
        <v>791</v>
      </c>
      <c r="G112" s="18"/>
      <c r="H112" s="18" t="s">
        <v>547</v>
      </c>
      <c r="I112" s="14" t="s">
        <v>1294</v>
      </c>
      <c r="J112" s="18"/>
      <c r="K112" s="18"/>
      <c r="M112" s="20" t="str">
        <f t="shared" si="1"/>
        <v>Circus aeruginosus</v>
      </c>
    </row>
    <row r="113" spans="1:13" ht="15" customHeight="1" x14ac:dyDescent="0.2">
      <c r="A113" s="14" t="s">
        <v>31</v>
      </c>
      <c r="B113" s="15">
        <v>11120</v>
      </c>
      <c r="C113" s="16" t="s">
        <v>181</v>
      </c>
      <c r="D113" s="15" t="s">
        <v>1491</v>
      </c>
      <c r="E113" s="17" t="s">
        <v>1293</v>
      </c>
      <c r="F113" s="18" t="s">
        <v>792</v>
      </c>
      <c r="G113" s="18"/>
      <c r="H113" s="18" t="s">
        <v>547</v>
      </c>
      <c r="I113" s="14" t="s">
        <v>1294</v>
      </c>
      <c r="J113" s="18"/>
      <c r="K113" s="18"/>
      <c r="M113" s="20" t="str">
        <f t="shared" si="1"/>
        <v>Circus cyaneus</v>
      </c>
    </row>
    <row r="114" spans="1:13" ht="15" customHeight="1" x14ac:dyDescent="0.2">
      <c r="A114" s="14" t="s">
        <v>31</v>
      </c>
      <c r="B114" s="15">
        <v>12048</v>
      </c>
      <c r="C114" s="16" t="s">
        <v>227</v>
      </c>
      <c r="D114" s="14" t="s">
        <v>1492</v>
      </c>
      <c r="E114" s="17" t="s">
        <v>1293</v>
      </c>
      <c r="F114" s="18" t="s">
        <v>793</v>
      </c>
      <c r="G114" s="18"/>
      <c r="H114" s="18" t="s">
        <v>562</v>
      </c>
      <c r="I114" s="14" t="s">
        <v>1294</v>
      </c>
      <c r="J114" s="18"/>
      <c r="K114" s="18"/>
      <c r="M114" s="20" t="str">
        <f t="shared" si="1"/>
        <v>Circus pygargus</v>
      </c>
    </row>
    <row r="115" spans="1:13" ht="15" customHeight="1" x14ac:dyDescent="0.2">
      <c r="A115" s="14" t="s">
        <v>31</v>
      </c>
      <c r="B115" s="15">
        <v>11543</v>
      </c>
      <c r="C115" s="16" t="s">
        <v>144</v>
      </c>
      <c r="D115" s="14" t="s">
        <v>1493</v>
      </c>
      <c r="E115" s="17" t="s">
        <v>1293</v>
      </c>
      <c r="F115" s="18" t="s">
        <v>585</v>
      </c>
      <c r="G115" s="18"/>
      <c r="H115" s="18" t="s">
        <v>547</v>
      </c>
      <c r="I115" s="14" t="s">
        <v>1294</v>
      </c>
      <c r="J115" s="18"/>
      <c r="K115" s="18"/>
      <c r="M115" s="20" t="str">
        <f t="shared" si="1"/>
        <v>Cisticola juncidis</v>
      </c>
    </row>
    <row r="116" spans="1:13" ht="15" customHeight="1" x14ac:dyDescent="0.2">
      <c r="A116" s="14" t="s">
        <v>31</v>
      </c>
      <c r="B116" s="15">
        <v>11369</v>
      </c>
      <c r="C116" s="16" t="s">
        <v>349</v>
      </c>
      <c r="D116" s="14" t="s">
        <v>1494</v>
      </c>
      <c r="E116" s="17" t="s">
        <v>1293</v>
      </c>
      <c r="F116" s="18" t="s">
        <v>928</v>
      </c>
      <c r="G116" s="18"/>
      <c r="H116" s="18" t="s">
        <v>547</v>
      </c>
      <c r="I116" s="14" t="s">
        <v>1294</v>
      </c>
      <c r="J116" s="18"/>
      <c r="K116" s="18"/>
      <c r="M116" s="20" t="str">
        <f t="shared" si="1"/>
        <v>Clamator glandarius</v>
      </c>
    </row>
    <row r="117" spans="1:13" ht="15" customHeight="1" x14ac:dyDescent="0.2">
      <c r="A117" s="14" t="s">
        <v>31</v>
      </c>
      <c r="B117" s="15">
        <v>11045</v>
      </c>
      <c r="C117" s="16" t="s">
        <v>647</v>
      </c>
      <c r="D117" s="14" t="s">
        <v>1495</v>
      </c>
      <c r="E117" s="17" t="s">
        <v>1293</v>
      </c>
      <c r="F117" s="18" t="s">
        <v>648</v>
      </c>
      <c r="G117" s="18"/>
      <c r="H117" s="18" t="s">
        <v>547</v>
      </c>
      <c r="I117" s="14" t="s">
        <v>1294</v>
      </c>
      <c r="J117" s="18"/>
      <c r="K117" s="18"/>
      <c r="M117" s="20" t="str">
        <f t="shared" si="1"/>
        <v>Coccothraustes coccothraustes</v>
      </c>
    </row>
    <row r="118" spans="1:13" ht="15" customHeight="1" x14ac:dyDescent="0.2">
      <c r="A118" s="14" t="s">
        <v>31</v>
      </c>
      <c r="B118" s="15">
        <v>10723</v>
      </c>
      <c r="C118" s="16" t="s">
        <v>1496</v>
      </c>
      <c r="D118" s="14" t="s">
        <v>1497</v>
      </c>
      <c r="E118" s="17" t="s">
        <v>1293</v>
      </c>
      <c r="F118" s="18" t="s">
        <v>1498</v>
      </c>
      <c r="G118" s="18"/>
      <c r="H118" s="18" t="s">
        <v>547</v>
      </c>
      <c r="I118" s="14" t="s">
        <v>1294</v>
      </c>
      <c r="J118" s="18"/>
      <c r="K118" s="18"/>
      <c r="M118" s="20" t="str">
        <f t="shared" si="1"/>
        <v>Columba bollii</v>
      </c>
    </row>
    <row r="119" spans="1:13" ht="15" customHeight="1" x14ac:dyDescent="0.2">
      <c r="A119" s="14" t="s">
        <v>31</v>
      </c>
      <c r="B119" s="15">
        <v>11544</v>
      </c>
      <c r="C119" s="16" t="s">
        <v>1499</v>
      </c>
      <c r="D119" s="14" t="s">
        <v>1500</v>
      </c>
      <c r="E119" s="17" t="s">
        <v>1293</v>
      </c>
      <c r="F119" s="18" t="s">
        <v>1501</v>
      </c>
      <c r="G119" s="18"/>
      <c r="H119" s="18" t="s">
        <v>562</v>
      </c>
      <c r="I119" s="14" t="s">
        <v>1294</v>
      </c>
      <c r="J119" s="18"/>
      <c r="K119" s="18"/>
      <c r="M119" s="20" t="str">
        <f t="shared" si="1"/>
        <v>Columba junoniae</v>
      </c>
    </row>
    <row r="120" spans="1:13" s="27" customFormat="1" ht="15" customHeight="1" x14ac:dyDescent="0.2">
      <c r="A120" s="14" t="s">
        <v>31</v>
      </c>
      <c r="B120" s="15">
        <v>11339</v>
      </c>
      <c r="C120" s="16" t="s">
        <v>529</v>
      </c>
      <c r="D120" s="14" t="s">
        <v>1502</v>
      </c>
      <c r="E120" s="17" t="s">
        <v>1293</v>
      </c>
      <c r="F120" s="18" t="s">
        <v>937</v>
      </c>
      <c r="G120" s="18"/>
      <c r="H120" s="18" t="s">
        <v>547</v>
      </c>
      <c r="I120" s="14" t="s">
        <v>1294</v>
      </c>
      <c r="J120" s="18"/>
      <c r="K120" s="18"/>
      <c r="M120" s="20" t="str">
        <f t="shared" si="1"/>
        <v>Coracias garrulus</v>
      </c>
    </row>
    <row r="121" spans="1:13" ht="15" customHeight="1" x14ac:dyDescent="0.2">
      <c r="A121" s="14" t="s">
        <v>31</v>
      </c>
      <c r="B121" s="15">
        <v>16310</v>
      </c>
      <c r="C121" s="16" t="s">
        <v>815</v>
      </c>
      <c r="D121" s="14" t="s">
        <v>1503</v>
      </c>
      <c r="E121" s="17" t="s">
        <v>1293</v>
      </c>
      <c r="F121" s="18" t="s">
        <v>816</v>
      </c>
      <c r="G121" s="18"/>
      <c r="H121" s="18" t="s">
        <v>547</v>
      </c>
      <c r="I121" s="14" t="s">
        <v>1294</v>
      </c>
      <c r="J121" s="18"/>
      <c r="K121" s="18"/>
      <c r="M121" s="20" t="str">
        <f t="shared" si="1"/>
        <v>Crex crex</v>
      </c>
    </row>
    <row r="122" spans="1:13" ht="15" customHeight="1" x14ac:dyDescent="0.2">
      <c r="A122" s="14" t="s">
        <v>31</v>
      </c>
      <c r="B122" s="15">
        <v>10952</v>
      </c>
      <c r="C122" s="16" t="s">
        <v>595</v>
      </c>
      <c r="D122" s="14" t="s">
        <v>1504</v>
      </c>
      <c r="E122" s="17" t="s">
        <v>1293</v>
      </c>
      <c r="F122" s="18" t="s">
        <v>596</v>
      </c>
      <c r="G122" s="18"/>
      <c r="H122" s="18" t="s">
        <v>547</v>
      </c>
      <c r="I122" s="14" t="s">
        <v>1294</v>
      </c>
      <c r="J122" s="18"/>
      <c r="K122" s="18"/>
      <c r="M122" s="20" t="str">
        <f t="shared" si="1"/>
        <v>Cuculus canorus</v>
      </c>
    </row>
    <row r="123" spans="1:13" ht="15" customHeight="1" x14ac:dyDescent="0.2">
      <c r="A123" s="14" t="s">
        <v>31</v>
      </c>
      <c r="B123" s="15">
        <v>11113</v>
      </c>
      <c r="C123" s="16" t="s">
        <v>1505</v>
      </c>
      <c r="D123" s="14" t="s">
        <v>1506</v>
      </c>
      <c r="E123" s="17" t="s">
        <v>1293</v>
      </c>
      <c r="F123" s="18" t="s">
        <v>1507</v>
      </c>
      <c r="G123" s="18" t="s">
        <v>1465</v>
      </c>
      <c r="H123" s="18" t="s">
        <v>562</v>
      </c>
      <c r="I123" s="14" t="s">
        <v>1294</v>
      </c>
      <c r="J123" s="18"/>
      <c r="K123" s="18"/>
      <c r="M123" s="20" t="str">
        <f t="shared" si="1"/>
        <v>Cursorius cursor</v>
      </c>
    </row>
    <row r="124" spans="1:13" ht="15" customHeight="1" x14ac:dyDescent="0.2">
      <c r="A124" s="14" t="s">
        <v>31</v>
      </c>
      <c r="B124" s="15">
        <v>11113</v>
      </c>
      <c r="C124" s="16" t="s">
        <v>1505</v>
      </c>
      <c r="D124" s="14" t="s">
        <v>1506</v>
      </c>
      <c r="E124" s="17" t="s">
        <v>1293</v>
      </c>
      <c r="F124" s="18" t="s">
        <v>836</v>
      </c>
      <c r="G124" s="18" t="s">
        <v>1508</v>
      </c>
      <c r="H124" s="18" t="s">
        <v>547</v>
      </c>
      <c r="I124" s="14" t="s">
        <v>1294</v>
      </c>
      <c r="J124" s="18"/>
      <c r="K124" s="18"/>
      <c r="M124" s="20" t="str">
        <f t="shared" si="1"/>
        <v>Cursorius cursor</v>
      </c>
    </row>
    <row r="125" spans="1:13" ht="13.9" customHeight="1" x14ac:dyDescent="0.2">
      <c r="A125" s="14" t="s">
        <v>31</v>
      </c>
      <c r="B125" s="15">
        <v>16423</v>
      </c>
      <c r="C125" s="16" t="s">
        <v>1509</v>
      </c>
      <c r="D125" s="14" t="s">
        <v>1510</v>
      </c>
      <c r="E125" s="17" t="s">
        <v>1293</v>
      </c>
      <c r="F125" s="18" t="s">
        <v>1004</v>
      </c>
      <c r="G125" s="18"/>
      <c r="H125" s="18" t="s">
        <v>547</v>
      </c>
      <c r="I125" s="14" t="s">
        <v>1294</v>
      </c>
      <c r="J125" s="18"/>
      <c r="K125" s="18"/>
      <c r="M125" s="20" t="str">
        <f t="shared" si="1"/>
        <v>Cyanistes caeruleus</v>
      </c>
    </row>
    <row r="126" spans="1:13" ht="15" customHeight="1" x14ac:dyDescent="0.2">
      <c r="A126" s="14" t="s">
        <v>31</v>
      </c>
      <c r="B126" s="33">
        <v>80935</v>
      </c>
      <c r="C126" s="16" t="s">
        <v>1010</v>
      </c>
      <c r="D126" s="15" t="s">
        <v>1511</v>
      </c>
      <c r="E126" s="17" t="s">
        <v>1293</v>
      </c>
      <c r="F126" s="18" t="s">
        <v>1011</v>
      </c>
      <c r="G126" s="18"/>
      <c r="H126" s="18" t="s">
        <v>547</v>
      </c>
      <c r="I126" s="14" t="s">
        <v>1294</v>
      </c>
      <c r="J126" s="18"/>
      <c r="K126" s="18"/>
      <c r="M126" s="20" t="str">
        <f t="shared" si="1"/>
        <v>Cyanopica cyanus</v>
      </c>
    </row>
    <row r="127" spans="1:13" ht="15" customHeight="1" x14ac:dyDescent="0.2">
      <c r="A127" s="14" t="s">
        <v>31</v>
      </c>
      <c r="B127" s="15">
        <v>12368</v>
      </c>
      <c r="C127" s="16" t="s">
        <v>295</v>
      </c>
      <c r="D127" s="14" t="s">
        <v>1512</v>
      </c>
      <c r="E127" s="17" t="s">
        <v>1293</v>
      </c>
      <c r="F127" s="18" t="s">
        <v>622</v>
      </c>
      <c r="G127" s="18"/>
      <c r="H127" s="18" t="s">
        <v>547</v>
      </c>
      <c r="I127" s="14" t="s">
        <v>1294</v>
      </c>
      <c r="J127" s="18"/>
      <c r="K127" s="18"/>
      <c r="M127" s="20" t="str">
        <f t="shared" si="1"/>
        <v>Delichon urbicum</v>
      </c>
    </row>
    <row r="128" spans="1:13" ht="15" customHeight="1" x14ac:dyDescent="0.2">
      <c r="A128" s="14" t="s">
        <v>31</v>
      </c>
      <c r="B128" s="15">
        <v>11591</v>
      </c>
      <c r="C128" s="16" t="s">
        <v>1513</v>
      </c>
      <c r="D128" s="15" t="s">
        <v>1514</v>
      </c>
      <c r="E128" s="17" t="s">
        <v>1293</v>
      </c>
      <c r="F128" s="18" t="s">
        <v>1515</v>
      </c>
      <c r="G128" s="18"/>
      <c r="H128" s="18" t="s">
        <v>1300</v>
      </c>
      <c r="I128" s="14" t="s">
        <v>1294</v>
      </c>
      <c r="J128" s="18"/>
      <c r="K128" s="18"/>
      <c r="M128" s="20" t="str">
        <f t="shared" si="1"/>
        <v>Dendrocopos leucotos</v>
      </c>
    </row>
    <row r="129" spans="1:13" ht="15" customHeight="1" x14ac:dyDescent="0.2">
      <c r="A129" s="14" t="s">
        <v>31</v>
      </c>
      <c r="B129" s="15">
        <v>11649</v>
      </c>
      <c r="C129" s="16" t="s">
        <v>194</v>
      </c>
      <c r="D129" s="15" t="s">
        <v>1516</v>
      </c>
      <c r="E129" s="17" t="s">
        <v>1293</v>
      </c>
      <c r="F129" s="18" t="s">
        <v>591</v>
      </c>
      <c r="G129" s="18"/>
      <c r="H129" s="18" t="s">
        <v>547</v>
      </c>
      <c r="I129" s="14" t="s">
        <v>1294</v>
      </c>
      <c r="J129" s="18"/>
      <c r="K129" s="18"/>
      <c r="M129" s="20" t="str">
        <f t="shared" si="1"/>
        <v>Dendrocopos major</v>
      </c>
    </row>
    <row r="130" spans="1:13" ht="15" customHeight="1" x14ac:dyDescent="0.2">
      <c r="A130" s="14" t="s">
        <v>31</v>
      </c>
      <c r="B130" s="15">
        <v>79181</v>
      </c>
      <c r="C130" s="16" t="s">
        <v>1517</v>
      </c>
      <c r="D130" s="34" t="s">
        <v>1518</v>
      </c>
      <c r="E130" s="17" t="s">
        <v>1293</v>
      </c>
      <c r="F130" s="18" t="s">
        <v>1519</v>
      </c>
      <c r="G130" s="18"/>
      <c r="H130" s="18" t="s">
        <v>547</v>
      </c>
      <c r="I130" s="14" t="s">
        <v>1294</v>
      </c>
      <c r="J130" s="18"/>
      <c r="K130" s="18"/>
      <c r="M130" s="20" t="str">
        <f t="shared" si="1"/>
        <v>Dendrocopos medius</v>
      </c>
    </row>
    <row r="131" spans="1:13" ht="15" customHeight="1" x14ac:dyDescent="0.2">
      <c r="A131" s="14" t="s">
        <v>31</v>
      </c>
      <c r="B131" s="15">
        <v>33015</v>
      </c>
      <c r="C131" s="16" t="s">
        <v>938</v>
      </c>
      <c r="D131" s="15" t="s">
        <v>1520</v>
      </c>
      <c r="E131" s="17" t="s">
        <v>1293</v>
      </c>
      <c r="F131" s="18" t="s">
        <v>939</v>
      </c>
      <c r="G131" s="18"/>
      <c r="H131" s="18" t="s">
        <v>547</v>
      </c>
      <c r="I131" s="14" t="s">
        <v>1294</v>
      </c>
      <c r="J131" s="18"/>
      <c r="K131" s="18"/>
      <c r="M131" s="20" t="str">
        <f t="shared" ref="M131:M194" si="2">TRIM(C131)</f>
        <v>Dendrocopos minor</v>
      </c>
    </row>
    <row r="132" spans="1:13" ht="15" customHeight="1" x14ac:dyDescent="0.2">
      <c r="A132" s="14" t="s">
        <v>31</v>
      </c>
      <c r="B132" s="15">
        <v>11684</v>
      </c>
      <c r="C132" s="16" t="s">
        <v>1521</v>
      </c>
      <c r="D132" s="15" t="s">
        <v>1522</v>
      </c>
      <c r="E132" s="17" t="s">
        <v>1293</v>
      </c>
      <c r="F132" s="24" t="s">
        <v>1523</v>
      </c>
      <c r="G132" s="18"/>
      <c r="H132" s="18" t="s">
        <v>547</v>
      </c>
      <c r="I132" s="14" t="s">
        <v>1294</v>
      </c>
      <c r="J132" s="18"/>
      <c r="K132" s="18"/>
      <c r="M132" s="20" t="str">
        <f t="shared" si="2"/>
        <v>Dryocopus martius</v>
      </c>
    </row>
    <row r="133" spans="1:13" ht="15.75" customHeight="1" x14ac:dyDescent="0.2">
      <c r="A133" s="14" t="s">
        <v>31</v>
      </c>
      <c r="B133" s="15">
        <v>23748</v>
      </c>
      <c r="C133" s="16" t="s">
        <v>753</v>
      </c>
      <c r="D133" s="15" t="s">
        <v>1524</v>
      </c>
      <c r="E133" s="17" t="s">
        <v>1293</v>
      </c>
      <c r="F133" s="18" t="s">
        <v>754</v>
      </c>
      <c r="G133" s="18"/>
      <c r="H133" s="18" t="s">
        <v>547</v>
      </c>
      <c r="I133" s="14" t="s">
        <v>1294</v>
      </c>
      <c r="J133" s="18"/>
      <c r="K133" s="18"/>
      <c r="M133" s="20" t="str">
        <f t="shared" si="2"/>
        <v>Egretta alba</v>
      </c>
    </row>
    <row r="134" spans="1:13" ht="15" customHeight="1" x14ac:dyDescent="0.2">
      <c r="A134" s="14" t="s">
        <v>31</v>
      </c>
      <c r="B134" s="15">
        <v>11340</v>
      </c>
      <c r="C134" s="16" t="s">
        <v>755</v>
      </c>
      <c r="D134" s="15" t="s">
        <v>1525</v>
      </c>
      <c r="E134" s="17" t="s">
        <v>1293</v>
      </c>
      <c r="F134" s="24" t="s">
        <v>756</v>
      </c>
      <c r="G134" s="18"/>
      <c r="H134" s="18" t="s">
        <v>547</v>
      </c>
      <c r="I134" s="14" t="s">
        <v>1294</v>
      </c>
      <c r="J134" s="18"/>
      <c r="K134" s="18"/>
      <c r="M134" s="20" t="str">
        <f t="shared" si="2"/>
        <v>Egretta garzetta</v>
      </c>
    </row>
    <row r="135" spans="1:13" ht="15" customHeight="1" x14ac:dyDescent="0.2">
      <c r="A135" s="14" t="s">
        <v>31</v>
      </c>
      <c r="B135" s="15">
        <v>10930</v>
      </c>
      <c r="C135" s="16" t="s">
        <v>794</v>
      </c>
      <c r="D135" s="14" t="s">
        <v>1526</v>
      </c>
      <c r="E135" s="17" t="s">
        <v>1293</v>
      </c>
      <c r="F135" s="24" t="s">
        <v>795</v>
      </c>
      <c r="G135" s="18"/>
      <c r="H135" s="18" t="s">
        <v>547</v>
      </c>
      <c r="I135" s="14" t="s">
        <v>1294</v>
      </c>
      <c r="J135" s="18"/>
      <c r="K135" s="18"/>
      <c r="M135" s="20" t="str">
        <f t="shared" si="2"/>
        <v>Elanus caeruleus</v>
      </c>
    </row>
    <row r="136" spans="1:13" ht="15" customHeight="1" x14ac:dyDescent="0.2">
      <c r="A136" s="14" t="s">
        <v>31</v>
      </c>
      <c r="B136" s="15">
        <v>10890</v>
      </c>
      <c r="C136" s="16" t="s">
        <v>575</v>
      </c>
      <c r="D136" s="14" t="s">
        <v>1527</v>
      </c>
      <c r="E136" s="17" t="s">
        <v>1293</v>
      </c>
      <c r="F136" s="24" t="s">
        <v>576</v>
      </c>
      <c r="G136" s="18"/>
      <c r="H136" s="18" t="s">
        <v>547</v>
      </c>
      <c r="I136" s="14" t="s">
        <v>1294</v>
      </c>
      <c r="J136" s="18"/>
      <c r="K136" s="18"/>
      <c r="M136" s="20" t="str">
        <f t="shared" si="2"/>
        <v>Emberiza cia</v>
      </c>
    </row>
    <row r="137" spans="1:13" ht="15" customHeight="1" x14ac:dyDescent="0.2">
      <c r="A137" s="14" t="s">
        <v>31</v>
      </c>
      <c r="B137" s="15">
        <v>10907</v>
      </c>
      <c r="C137" s="16" t="s">
        <v>616</v>
      </c>
      <c r="D137" s="14" t="s">
        <v>1528</v>
      </c>
      <c r="E137" s="17" t="s">
        <v>1293</v>
      </c>
      <c r="F137" s="24" t="s">
        <v>617</v>
      </c>
      <c r="G137" s="18"/>
      <c r="H137" s="18" t="s">
        <v>547</v>
      </c>
      <c r="I137" s="14" t="s">
        <v>1294</v>
      </c>
      <c r="J137" s="18"/>
      <c r="K137" s="18"/>
      <c r="M137" s="20" t="str">
        <f t="shared" si="2"/>
        <v>Emberiza cirlus</v>
      </c>
    </row>
    <row r="138" spans="1:13" ht="15" customHeight="1" x14ac:dyDescent="0.2">
      <c r="A138" s="14" t="s">
        <v>31</v>
      </c>
      <c r="B138" s="15">
        <v>10911</v>
      </c>
      <c r="C138" s="16" t="s">
        <v>1529</v>
      </c>
      <c r="D138" s="14" t="s">
        <v>1530</v>
      </c>
      <c r="E138" s="17" t="s">
        <v>1293</v>
      </c>
      <c r="F138" s="24" t="s">
        <v>1531</v>
      </c>
      <c r="G138" s="18"/>
      <c r="H138" s="18" t="s">
        <v>547</v>
      </c>
      <c r="I138" s="14" t="s">
        <v>1294</v>
      </c>
      <c r="J138" s="18"/>
      <c r="K138" s="18"/>
      <c r="M138" s="20" t="str">
        <f t="shared" si="2"/>
        <v>Emberiza citrinella</v>
      </c>
    </row>
    <row r="139" spans="1:13" ht="15" customHeight="1" x14ac:dyDescent="0.2">
      <c r="A139" s="14" t="s">
        <v>31</v>
      </c>
      <c r="B139" s="15">
        <v>11476</v>
      </c>
      <c r="C139" s="16" t="s">
        <v>1020</v>
      </c>
      <c r="D139" s="14" t="s">
        <v>1532</v>
      </c>
      <c r="E139" s="17" t="s">
        <v>1293</v>
      </c>
      <c r="F139" s="24" t="s">
        <v>1021</v>
      </c>
      <c r="G139" s="18"/>
      <c r="H139" s="18" t="s">
        <v>547</v>
      </c>
      <c r="I139" s="14" t="s">
        <v>1294</v>
      </c>
      <c r="J139" s="18"/>
      <c r="K139" s="18"/>
      <c r="M139" s="20" t="str">
        <f t="shared" si="2"/>
        <v>Emberiza hortulana</v>
      </c>
    </row>
    <row r="140" spans="1:13" ht="15" customHeight="1" x14ac:dyDescent="0.2">
      <c r="A140" s="14" t="s">
        <v>31</v>
      </c>
      <c r="B140" s="15">
        <v>12162</v>
      </c>
      <c r="C140" s="16" t="s">
        <v>1022</v>
      </c>
      <c r="D140" s="35" t="s">
        <v>1533</v>
      </c>
      <c r="E140" s="17" t="s">
        <v>1318</v>
      </c>
      <c r="F140" s="24" t="s">
        <v>1023</v>
      </c>
      <c r="G140" s="18"/>
      <c r="H140" s="18" t="s">
        <v>547</v>
      </c>
      <c r="I140" s="14" t="s">
        <v>1294</v>
      </c>
      <c r="J140" s="18"/>
      <c r="K140" s="35" t="s">
        <v>1534</v>
      </c>
      <c r="M140" s="20" t="str">
        <f t="shared" si="2"/>
        <v>Emberiza schoeniclus schoeniclus</v>
      </c>
    </row>
    <row r="141" spans="1:13" ht="32.25" customHeight="1" x14ac:dyDescent="0.25">
      <c r="A141" s="14" t="s">
        <v>31</v>
      </c>
      <c r="B141" s="15">
        <v>12165</v>
      </c>
      <c r="C141" s="16" t="s">
        <v>1535</v>
      </c>
      <c r="D141" s="35" t="s">
        <v>1536</v>
      </c>
      <c r="E141" s="18" t="s">
        <v>1318</v>
      </c>
      <c r="F141" s="18" t="s">
        <v>1537</v>
      </c>
      <c r="G141" s="18"/>
      <c r="H141" s="18" t="s">
        <v>1300</v>
      </c>
      <c r="I141" s="14" t="s">
        <v>1294</v>
      </c>
      <c r="J141" s="18"/>
      <c r="K141" s="16" t="s">
        <v>1538</v>
      </c>
      <c r="M141" s="20" t="str">
        <f t="shared" si="2"/>
        <v>Emberiza schoeniclus whiterby/lusitanica</v>
      </c>
    </row>
    <row r="142" spans="1:13" ht="27.75" customHeight="1" x14ac:dyDescent="0.25">
      <c r="A142" s="14" t="s">
        <v>31</v>
      </c>
      <c r="B142" s="15">
        <v>12164</v>
      </c>
      <c r="C142" s="36" t="s">
        <v>1535</v>
      </c>
      <c r="D142" s="35" t="s">
        <v>1539</v>
      </c>
      <c r="E142" s="18" t="s">
        <v>1318</v>
      </c>
      <c r="F142" s="18" t="s">
        <v>1540</v>
      </c>
      <c r="G142" s="18"/>
      <c r="H142" s="18" t="s">
        <v>1300</v>
      </c>
      <c r="I142" s="14" t="s">
        <v>1294</v>
      </c>
      <c r="J142" s="18"/>
      <c r="K142" s="36" t="s">
        <v>1541</v>
      </c>
      <c r="M142" s="20" t="str">
        <f t="shared" si="2"/>
        <v>Emberiza schoeniclus whiterby/lusitanica</v>
      </c>
    </row>
    <row r="143" spans="1:13" ht="15" customHeight="1" x14ac:dyDescent="0.2">
      <c r="A143" s="14" t="s">
        <v>31</v>
      </c>
      <c r="B143" s="15">
        <v>12111</v>
      </c>
      <c r="C143" s="16" t="s">
        <v>669</v>
      </c>
      <c r="D143" s="14" t="s">
        <v>1542</v>
      </c>
      <c r="E143" s="17" t="s">
        <v>1293</v>
      </c>
      <c r="F143" s="24" t="s">
        <v>670</v>
      </c>
      <c r="G143" s="18"/>
      <c r="H143" s="18" t="s">
        <v>547</v>
      </c>
      <c r="I143" s="14" t="s">
        <v>1294</v>
      </c>
      <c r="J143" s="18"/>
      <c r="K143" s="18"/>
      <c r="M143" s="20" t="str">
        <f t="shared" si="2"/>
        <v>Erithacus rubecula</v>
      </c>
    </row>
    <row r="144" spans="1:13" ht="15" customHeight="1" x14ac:dyDescent="0.2">
      <c r="A144" s="14" t="s">
        <v>31</v>
      </c>
      <c r="B144" s="15">
        <v>11059</v>
      </c>
      <c r="C144" s="16" t="s">
        <v>805</v>
      </c>
      <c r="D144" s="14" t="s">
        <v>1543</v>
      </c>
      <c r="E144" s="17" t="s">
        <v>1293</v>
      </c>
      <c r="F144" s="24" t="s">
        <v>806</v>
      </c>
      <c r="G144" s="18"/>
      <c r="H144" s="18" t="s">
        <v>547</v>
      </c>
      <c r="I144" s="14" t="s">
        <v>1294</v>
      </c>
      <c r="J144" s="18"/>
      <c r="K144" s="18"/>
      <c r="M144" s="20" t="str">
        <f t="shared" si="2"/>
        <v>Falco columbarius</v>
      </c>
    </row>
    <row r="145" spans="1:13" ht="15" customHeight="1" x14ac:dyDescent="0.2">
      <c r="A145" s="14" t="s">
        <v>31</v>
      </c>
      <c r="B145" s="15">
        <v>11198</v>
      </c>
      <c r="C145" s="16" t="s">
        <v>1544</v>
      </c>
      <c r="D145" s="14" t="s">
        <v>1545</v>
      </c>
      <c r="E145" s="17" t="s">
        <v>1293</v>
      </c>
      <c r="F145" s="18" t="s">
        <v>1546</v>
      </c>
      <c r="G145" s="18"/>
      <c r="H145" s="18" t="s">
        <v>547</v>
      </c>
      <c r="I145" s="14" t="s">
        <v>1294</v>
      </c>
      <c r="J145" s="18"/>
      <c r="K145" s="18"/>
      <c r="M145" s="20" t="str">
        <f t="shared" si="2"/>
        <v>Falco eleonorae</v>
      </c>
    </row>
    <row r="146" spans="1:13" ht="15" customHeight="1" x14ac:dyDescent="0.2">
      <c r="A146" s="14" t="s">
        <v>31</v>
      </c>
      <c r="B146" s="15">
        <v>11817</v>
      </c>
      <c r="C146" s="16" t="s">
        <v>807</v>
      </c>
      <c r="D146" s="14" t="s">
        <v>1547</v>
      </c>
      <c r="E146" s="17" t="s">
        <v>1293</v>
      </c>
      <c r="F146" s="18" t="s">
        <v>808</v>
      </c>
      <c r="G146" s="18"/>
      <c r="H146" s="18" t="s">
        <v>547</v>
      </c>
      <c r="I146" s="14" t="s">
        <v>1294</v>
      </c>
      <c r="J146" s="18"/>
      <c r="K146" s="18"/>
      <c r="M146" s="20" t="str">
        <f t="shared" si="2"/>
        <v>Falco naumanni</v>
      </c>
    </row>
    <row r="147" spans="1:13" ht="15" customHeight="1" x14ac:dyDescent="0.2">
      <c r="A147" s="14" t="s">
        <v>31</v>
      </c>
      <c r="B147" s="15">
        <v>11963</v>
      </c>
      <c r="C147" s="16" t="s">
        <v>601</v>
      </c>
      <c r="D147" s="14" t="s">
        <v>1548</v>
      </c>
      <c r="E147" s="17" t="s">
        <v>1293</v>
      </c>
      <c r="F147" s="18" t="s">
        <v>602</v>
      </c>
      <c r="G147" s="18"/>
      <c r="H147" s="18" t="s">
        <v>547</v>
      </c>
      <c r="I147" s="14" t="s">
        <v>1294</v>
      </c>
      <c r="J147" s="18"/>
      <c r="K147" s="18"/>
      <c r="M147" s="20" t="str">
        <f t="shared" si="2"/>
        <v>Falco peregrinus</v>
      </c>
    </row>
    <row r="148" spans="1:13" ht="13.15" customHeight="1" x14ac:dyDescent="0.25">
      <c r="A148" s="14" t="s">
        <v>31</v>
      </c>
      <c r="B148" s="37">
        <v>32346</v>
      </c>
      <c r="C148" s="16" t="s">
        <v>1549</v>
      </c>
      <c r="D148" s="22" t="s">
        <v>1550</v>
      </c>
      <c r="E148" s="18" t="s">
        <v>1318</v>
      </c>
      <c r="F148" s="18" t="s">
        <v>1551</v>
      </c>
      <c r="G148" s="18"/>
      <c r="H148" s="18" t="s">
        <v>1300</v>
      </c>
      <c r="I148" s="14" t="s">
        <v>1449</v>
      </c>
      <c r="J148" s="24" t="s">
        <v>1552</v>
      </c>
      <c r="K148" s="30"/>
      <c r="M148" s="20" t="str">
        <f t="shared" si="2"/>
        <v>Falco pelegrinoides</v>
      </c>
    </row>
    <row r="149" spans="1:13" ht="15" customHeight="1" x14ac:dyDescent="0.2">
      <c r="A149" s="14" t="s">
        <v>31</v>
      </c>
      <c r="B149" s="15">
        <v>12262</v>
      </c>
      <c r="C149" s="16" t="s">
        <v>809</v>
      </c>
      <c r="D149" s="14" t="s">
        <v>1553</v>
      </c>
      <c r="E149" s="17" t="s">
        <v>1293</v>
      </c>
      <c r="F149" s="18" t="s">
        <v>810</v>
      </c>
      <c r="G149" s="18"/>
      <c r="H149" s="18" t="s">
        <v>547</v>
      </c>
      <c r="I149" s="14" t="s">
        <v>1294</v>
      </c>
      <c r="J149" s="18"/>
      <c r="K149" s="18"/>
      <c r="M149" s="20" t="str">
        <f t="shared" si="2"/>
        <v>Falco subbuteo</v>
      </c>
    </row>
    <row r="150" spans="1:13" ht="15" customHeight="1" x14ac:dyDescent="0.2">
      <c r="A150" s="14" t="s">
        <v>31</v>
      </c>
      <c r="B150" s="15">
        <v>12321</v>
      </c>
      <c r="C150" s="16" t="s">
        <v>103</v>
      </c>
      <c r="D150" s="14" t="s">
        <v>1554</v>
      </c>
      <c r="E150" s="17" t="s">
        <v>1293</v>
      </c>
      <c r="F150" s="18" t="s">
        <v>565</v>
      </c>
      <c r="G150" s="18"/>
      <c r="H150" s="18" t="s">
        <v>547</v>
      </c>
      <c r="I150" s="14" t="s">
        <v>1294</v>
      </c>
      <c r="J150" s="18"/>
      <c r="K150" s="18"/>
      <c r="M150" s="20" t="str">
        <f t="shared" si="2"/>
        <v>Falco tinnunculus</v>
      </c>
    </row>
    <row r="151" spans="1:13" ht="15" customHeight="1" x14ac:dyDescent="0.2">
      <c r="A151" s="14" t="s">
        <v>31</v>
      </c>
      <c r="B151" s="15">
        <v>16303</v>
      </c>
      <c r="C151" s="16" t="s">
        <v>1555</v>
      </c>
      <c r="D151" s="14" t="s">
        <v>1556</v>
      </c>
      <c r="E151" s="17" t="s">
        <v>1293</v>
      </c>
      <c r="F151" s="18" t="s">
        <v>1557</v>
      </c>
      <c r="G151" s="18"/>
      <c r="H151" s="18" t="s">
        <v>547</v>
      </c>
      <c r="I151" s="14" t="s">
        <v>1294</v>
      </c>
      <c r="J151" s="18"/>
      <c r="K151" s="18"/>
      <c r="M151" s="20" t="str">
        <f t="shared" si="2"/>
        <v>Falco vespertinus</v>
      </c>
    </row>
    <row r="152" spans="1:13" ht="15" customHeight="1" x14ac:dyDescent="0.2">
      <c r="A152" s="14" t="s">
        <v>31</v>
      </c>
      <c r="B152" s="15">
        <v>11483</v>
      </c>
      <c r="C152" s="16" t="s">
        <v>1001</v>
      </c>
      <c r="D152" s="14" t="s">
        <v>1558</v>
      </c>
      <c r="E152" s="17" t="s">
        <v>1293</v>
      </c>
      <c r="F152" s="18" t="s">
        <v>1002</v>
      </c>
      <c r="G152" s="18"/>
      <c r="H152" s="18" t="s">
        <v>547</v>
      </c>
      <c r="I152" s="14" t="s">
        <v>1294</v>
      </c>
      <c r="J152" s="18"/>
      <c r="K152" s="18"/>
      <c r="M152" s="20" t="str">
        <f t="shared" si="2"/>
        <v>Ficedula hypoleuca</v>
      </c>
    </row>
    <row r="153" spans="1:13" ht="15" customHeight="1" x14ac:dyDescent="0.2">
      <c r="A153" s="14" t="s">
        <v>31</v>
      </c>
      <c r="B153" s="15">
        <v>14092</v>
      </c>
      <c r="C153" s="16" t="s">
        <v>920</v>
      </c>
      <c r="D153" s="14" t="s">
        <v>1559</v>
      </c>
      <c r="E153" s="17" t="s">
        <v>1293</v>
      </c>
      <c r="F153" s="18" t="s">
        <v>921</v>
      </c>
      <c r="G153" s="18"/>
      <c r="H153" s="18" t="s">
        <v>547</v>
      </c>
      <c r="I153" s="14" t="s">
        <v>1294</v>
      </c>
      <c r="J153" s="18"/>
      <c r="K153" s="18"/>
      <c r="M153" s="20" t="str">
        <f t="shared" si="2"/>
        <v>Fratercula arctica</v>
      </c>
    </row>
    <row r="154" spans="1:13" ht="15" customHeight="1" x14ac:dyDescent="0.2">
      <c r="A154" s="14" t="s">
        <v>31</v>
      </c>
      <c r="B154" s="15">
        <v>11047</v>
      </c>
      <c r="C154" s="16" t="s">
        <v>213</v>
      </c>
      <c r="D154" s="15" t="s">
        <v>1560</v>
      </c>
      <c r="E154" s="17" t="s">
        <v>1293</v>
      </c>
      <c r="F154" s="18" t="s">
        <v>597</v>
      </c>
      <c r="G154" s="18" t="s">
        <v>1465</v>
      </c>
      <c r="H154" s="18" t="s">
        <v>547</v>
      </c>
      <c r="I154" s="14" t="s">
        <v>1294</v>
      </c>
      <c r="J154" s="18"/>
      <c r="K154" s="18"/>
      <c r="M154" s="20" t="str">
        <f t="shared" si="2"/>
        <v>Fringilla coelebs</v>
      </c>
    </row>
    <row r="155" spans="1:13" ht="15" customHeight="1" x14ac:dyDescent="0.2">
      <c r="A155" s="14" t="s">
        <v>31</v>
      </c>
      <c r="B155" s="15">
        <v>16433</v>
      </c>
      <c r="C155" s="16" t="s">
        <v>1561</v>
      </c>
      <c r="D155" s="15" t="s">
        <v>1562</v>
      </c>
      <c r="E155" s="17" t="s">
        <v>1293</v>
      </c>
      <c r="F155" s="18" t="s">
        <v>1016</v>
      </c>
      <c r="G155" s="18"/>
      <c r="H155" s="18" t="s">
        <v>547</v>
      </c>
      <c r="I155" s="14" t="s">
        <v>1294</v>
      </c>
      <c r="J155" s="18"/>
      <c r="K155" s="18"/>
      <c r="M155" s="20" t="str">
        <f t="shared" si="2"/>
        <v>Fringilla montifringilla</v>
      </c>
    </row>
    <row r="156" spans="1:13" ht="15" customHeight="1" x14ac:dyDescent="0.2">
      <c r="A156" s="14" t="s">
        <v>31</v>
      </c>
      <c r="B156" s="15">
        <v>33011</v>
      </c>
      <c r="C156" s="16" t="s">
        <v>1563</v>
      </c>
      <c r="D156" s="15" t="s">
        <v>1564</v>
      </c>
      <c r="E156" s="17" t="s">
        <v>1293</v>
      </c>
      <c r="F156" s="18" t="s">
        <v>1565</v>
      </c>
      <c r="G156" s="18"/>
      <c r="H156" s="18" t="s">
        <v>1300</v>
      </c>
      <c r="I156" s="14" t="s">
        <v>1294</v>
      </c>
      <c r="J156" s="18"/>
      <c r="K156" s="18"/>
      <c r="M156" s="20" t="str">
        <f t="shared" si="2"/>
        <v>Fringilla teydea polatzeki</v>
      </c>
    </row>
    <row r="157" spans="1:13" ht="15" customHeight="1" x14ac:dyDescent="0.2">
      <c r="A157" s="14" t="s">
        <v>31</v>
      </c>
      <c r="B157" s="15">
        <v>12315</v>
      </c>
      <c r="C157" s="21" t="s">
        <v>1566</v>
      </c>
      <c r="D157" s="38" t="s">
        <v>1567</v>
      </c>
      <c r="E157" s="17" t="s">
        <v>1293</v>
      </c>
      <c r="F157" s="18" t="s">
        <v>1568</v>
      </c>
      <c r="G157" s="18"/>
      <c r="H157" s="18" t="s">
        <v>562</v>
      </c>
      <c r="I157" s="14" t="s">
        <v>1294</v>
      </c>
      <c r="J157" s="18"/>
      <c r="K157" s="18"/>
      <c r="M157" s="20" t="str">
        <f t="shared" si="2"/>
        <v>Fringilla teydea teydea</v>
      </c>
    </row>
    <row r="158" spans="1:13" ht="15" customHeight="1" x14ac:dyDescent="0.2">
      <c r="A158" s="14" t="s">
        <v>31</v>
      </c>
      <c r="B158" s="15">
        <v>11101</v>
      </c>
      <c r="C158" s="16" t="s">
        <v>817</v>
      </c>
      <c r="D158" s="15" t="s">
        <v>1569</v>
      </c>
      <c r="E158" s="17" t="s">
        <v>1293</v>
      </c>
      <c r="F158" s="18" t="s">
        <v>818</v>
      </c>
      <c r="G158" s="18"/>
      <c r="H158" s="18" t="s">
        <v>1300</v>
      </c>
      <c r="I158" s="14" t="s">
        <v>1294</v>
      </c>
      <c r="J158" s="18"/>
      <c r="K158" s="18"/>
      <c r="M158" s="20" t="str">
        <f t="shared" si="2"/>
        <v>Fulica cristata</v>
      </c>
    </row>
    <row r="159" spans="1:13" ht="15" customHeight="1" x14ac:dyDescent="0.2">
      <c r="A159" s="14" t="s">
        <v>31</v>
      </c>
      <c r="B159" s="15">
        <v>14006</v>
      </c>
      <c r="C159" s="16" t="s">
        <v>1570</v>
      </c>
      <c r="D159" s="14" t="s">
        <v>1571</v>
      </c>
      <c r="E159" s="17" t="s">
        <v>1293</v>
      </c>
      <c r="F159" s="18" t="s">
        <v>1572</v>
      </c>
      <c r="G159" s="18"/>
      <c r="H159" s="18" t="s">
        <v>547</v>
      </c>
      <c r="I159" s="14" t="s">
        <v>1294</v>
      </c>
      <c r="J159" s="18"/>
      <c r="K159" s="18"/>
      <c r="M159" s="20" t="str">
        <f t="shared" si="2"/>
        <v>Fulmarus glacialis</v>
      </c>
    </row>
    <row r="160" spans="1:13" ht="15" customHeight="1" x14ac:dyDescent="0.2">
      <c r="A160" s="14" t="s">
        <v>31</v>
      </c>
      <c r="B160" s="15">
        <v>11102</v>
      </c>
      <c r="C160" s="16" t="s">
        <v>514</v>
      </c>
      <c r="D160" s="14" t="s">
        <v>1573</v>
      </c>
      <c r="E160" s="17" t="s">
        <v>1293</v>
      </c>
      <c r="F160" s="18" t="s">
        <v>944</v>
      </c>
      <c r="G160" s="18"/>
      <c r="H160" s="18" t="s">
        <v>547</v>
      </c>
      <c r="I160" s="14" t="s">
        <v>1294</v>
      </c>
      <c r="J160" s="18"/>
      <c r="K160" s="18"/>
      <c r="M160" s="20" t="str">
        <f t="shared" si="2"/>
        <v>Galerida cristata</v>
      </c>
    </row>
    <row r="161" spans="1:13" ht="15" customHeight="1" x14ac:dyDescent="0.2">
      <c r="A161" s="14" t="s">
        <v>31</v>
      </c>
      <c r="B161" s="15">
        <v>12316</v>
      </c>
      <c r="C161" s="16" t="s">
        <v>184</v>
      </c>
      <c r="D161" s="14" t="s">
        <v>1574</v>
      </c>
      <c r="E161" s="17" t="s">
        <v>1293</v>
      </c>
      <c r="F161" s="18" t="s">
        <v>588</v>
      </c>
      <c r="G161" s="18"/>
      <c r="H161" s="18" t="s">
        <v>547</v>
      </c>
      <c r="I161" s="14" t="s">
        <v>1294</v>
      </c>
      <c r="J161" s="18"/>
      <c r="K161" s="18"/>
      <c r="M161" s="20" t="str">
        <f t="shared" si="2"/>
        <v>Galerida theklae</v>
      </c>
    </row>
    <row r="162" spans="1:13" ht="15" customHeight="1" x14ac:dyDescent="0.2">
      <c r="A162" s="14" t="s">
        <v>31</v>
      </c>
      <c r="B162" s="15">
        <v>13998</v>
      </c>
      <c r="C162" s="16" t="s">
        <v>1575</v>
      </c>
      <c r="D162" s="14" t="s">
        <v>1576</v>
      </c>
      <c r="E162" s="17" t="s">
        <v>1293</v>
      </c>
      <c r="F162" s="18" t="s">
        <v>1577</v>
      </c>
      <c r="G162" s="18"/>
      <c r="H162" s="18" t="s">
        <v>547</v>
      </c>
      <c r="I162" s="14" t="s">
        <v>1294</v>
      </c>
      <c r="J162" s="18"/>
      <c r="K162" s="18"/>
      <c r="M162" s="20" t="str">
        <f t="shared" si="2"/>
        <v>Gavia arctica</v>
      </c>
    </row>
    <row r="163" spans="1:13" ht="15" customHeight="1" x14ac:dyDescent="0.2">
      <c r="A163" s="14" t="s">
        <v>31</v>
      </c>
      <c r="B163" s="15">
        <v>14000</v>
      </c>
      <c r="C163" s="16" t="s">
        <v>720</v>
      </c>
      <c r="D163" s="14" t="s">
        <v>1578</v>
      </c>
      <c r="E163" s="17" t="s">
        <v>1293</v>
      </c>
      <c r="F163" s="18" t="s">
        <v>721</v>
      </c>
      <c r="G163" s="18"/>
      <c r="H163" s="18" t="s">
        <v>547</v>
      </c>
      <c r="I163" s="14" t="s">
        <v>1294</v>
      </c>
      <c r="J163" s="18"/>
      <c r="K163" s="18"/>
      <c r="M163" s="20" t="str">
        <f t="shared" si="2"/>
        <v>Gavia immer</v>
      </c>
    </row>
    <row r="164" spans="1:13" ht="15" customHeight="1" x14ac:dyDescent="0.2">
      <c r="A164" s="14" t="s">
        <v>31</v>
      </c>
      <c r="B164" s="15">
        <v>13997</v>
      </c>
      <c r="C164" s="16" t="s">
        <v>722</v>
      </c>
      <c r="D164" s="14" t="s">
        <v>1579</v>
      </c>
      <c r="E164" s="17" t="s">
        <v>1293</v>
      </c>
      <c r="F164" s="18" t="s">
        <v>723</v>
      </c>
      <c r="G164" s="18"/>
      <c r="H164" s="18" t="s">
        <v>547</v>
      </c>
      <c r="I164" s="14" t="s">
        <v>1294</v>
      </c>
      <c r="J164" s="18"/>
      <c r="K164" s="18"/>
      <c r="M164" s="20" t="str">
        <f t="shared" si="2"/>
        <v>Gavia stellata</v>
      </c>
    </row>
    <row r="165" spans="1:13" ht="15" customHeight="1" x14ac:dyDescent="0.2">
      <c r="A165" s="14" t="s">
        <v>31</v>
      </c>
      <c r="B165" s="15">
        <v>14072</v>
      </c>
      <c r="C165" s="16" t="s">
        <v>1580</v>
      </c>
      <c r="D165" s="14" t="s">
        <v>1581</v>
      </c>
      <c r="E165" s="17" t="s">
        <v>1293</v>
      </c>
      <c r="F165" s="18" t="s">
        <v>910</v>
      </c>
      <c r="G165" s="18"/>
      <c r="H165" s="18" t="s">
        <v>547</v>
      </c>
      <c r="I165" s="14" t="s">
        <v>1294</v>
      </c>
      <c r="J165" s="18"/>
      <c r="K165" s="18"/>
      <c r="M165" s="20" t="str">
        <f t="shared" si="2"/>
        <v>Gelochelidon nilotica</v>
      </c>
    </row>
    <row r="166" spans="1:13" ht="15" customHeight="1" x14ac:dyDescent="0.2">
      <c r="A166" s="14" t="s">
        <v>31</v>
      </c>
      <c r="B166" s="15">
        <v>16288</v>
      </c>
      <c r="C166" s="16" t="s">
        <v>1582</v>
      </c>
      <c r="D166" s="15" t="s">
        <v>1583</v>
      </c>
      <c r="E166" s="17" t="s">
        <v>1293</v>
      </c>
      <c r="F166" s="18" t="s">
        <v>1584</v>
      </c>
      <c r="G166" s="18"/>
      <c r="H166" s="18" t="s">
        <v>547</v>
      </c>
      <c r="I166" s="14" t="s">
        <v>1411</v>
      </c>
      <c r="J166" s="18"/>
      <c r="K166" s="18"/>
      <c r="M166" s="20" t="str">
        <f t="shared" si="2"/>
        <v>Geronticus eremita</v>
      </c>
    </row>
    <row r="167" spans="1:13" ht="15" customHeight="1" x14ac:dyDescent="0.2">
      <c r="A167" s="14" t="s">
        <v>31</v>
      </c>
      <c r="B167" s="15">
        <v>12021</v>
      </c>
      <c r="C167" s="16" t="s">
        <v>837</v>
      </c>
      <c r="D167" s="14" t="s">
        <v>1585</v>
      </c>
      <c r="E167" s="17" t="s">
        <v>1293</v>
      </c>
      <c r="F167" s="18" t="s">
        <v>838</v>
      </c>
      <c r="G167" s="18"/>
      <c r="H167" s="18" t="s">
        <v>547</v>
      </c>
      <c r="I167" s="14" t="s">
        <v>1294</v>
      </c>
      <c r="J167" s="18"/>
      <c r="K167" s="18"/>
      <c r="M167" s="20" t="str">
        <f t="shared" si="2"/>
        <v>Glareola pratincola</v>
      </c>
    </row>
    <row r="168" spans="1:13" ht="15" customHeight="1" x14ac:dyDescent="0.2">
      <c r="A168" s="14" t="s">
        <v>31</v>
      </c>
      <c r="B168" s="15">
        <v>16315</v>
      </c>
      <c r="C168" s="16" t="s">
        <v>813</v>
      </c>
      <c r="D168" s="14" t="s">
        <v>1586</v>
      </c>
      <c r="E168" s="17" t="s">
        <v>1293</v>
      </c>
      <c r="F168" s="18" t="s">
        <v>814</v>
      </c>
      <c r="G168" s="18"/>
      <c r="H168" s="18" t="s">
        <v>547</v>
      </c>
      <c r="I168" s="14" t="s">
        <v>1294</v>
      </c>
      <c r="J168" s="18"/>
      <c r="K168" s="18"/>
      <c r="M168" s="20" t="str">
        <f t="shared" si="2"/>
        <v>Grus grus</v>
      </c>
    </row>
    <row r="169" spans="1:13" ht="15" customHeight="1" x14ac:dyDescent="0.2">
      <c r="A169" s="14" t="s">
        <v>31</v>
      </c>
      <c r="B169" s="15">
        <v>10822</v>
      </c>
      <c r="C169" s="16" t="s">
        <v>796</v>
      </c>
      <c r="D169" s="14" t="s">
        <v>1587</v>
      </c>
      <c r="E169" s="17" t="s">
        <v>1293</v>
      </c>
      <c r="F169" s="18" t="s">
        <v>797</v>
      </c>
      <c r="G169" s="18"/>
      <c r="H169" s="18" t="s">
        <v>1300</v>
      </c>
      <c r="I169" s="14" t="s">
        <v>1294</v>
      </c>
      <c r="J169" s="18"/>
      <c r="K169" s="18"/>
      <c r="M169" s="20" t="str">
        <f t="shared" si="2"/>
        <v>Gypaetus barbatus</v>
      </c>
    </row>
    <row r="170" spans="1:13" ht="15" customHeight="1" x14ac:dyDescent="0.2">
      <c r="A170" s="14" t="s">
        <v>31</v>
      </c>
      <c r="B170" s="15">
        <v>11313</v>
      </c>
      <c r="C170" s="16" t="s">
        <v>798</v>
      </c>
      <c r="D170" s="14" t="s">
        <v>1588</v>
      </c>
      <c r="E170" s="17" t="s">
        <v>1293</v>
      </c>
      <c r="F170" s="18" t="s">
        <v>799</v>
      </c>
      <c r="G170" s="18"/>
      <c r="H170" s="18" t="s">
        <v>547</v>
      </c>
      <c r="I170" s="14" t="s">
        <v>1294</v>
      </c>
      <c r="J170" s="18"/>
      <c r="K170" s="18"/>
      <c r="M170" s="20" t="str">
        <f t="shared" si="2"/>
        <v>Gyps fulvus</v>
      </c>
    </row>
    <row r="171" spans="1:13" ht="15" customHeight="1" x14ac:dyDescent="0.2">
      <c r="A171" s="14" t="s">
        <v>31</v>
      </c>
      <c r="B171" s="15">
        <v>11917</v>
      </c>
      <c r="C171" s="16" t="s">
        <v>830</v>
      </c>
      <c r="D171" s="14" t="s">
        <v>1589</v>
      </c>
      <c r="E171" s="17" t="s">
        <v>1293</v>
      </c>
      <c r="F171" s="18" t="s">
        <v>831</v>
      </c>
      <c r="G171" s="18"/>
      <c r="H171" s="18" t="s">
        <v>547</v>
      </c>
      <c r="I171" s="14" t="s">
        <v>1294</v>
      </c>
      <c r="J171" s="18"/>
      <c r="K171" s="18"/>
      <c r="M171" s="20" t="str">
        <f t="shared" si="2"/>
        <v>Haematopus ostralegus</v>
      </c>
    </row>
    <row r="172" spans="1:13" ht="15" customHeight="1" x14ac:dyDescent="0.2">
      <c r="A172" s="14" t="s">
        <v>31</v>
      </c>
      <c r="B172" s="15">
        <v>16302</v>
      </c>
      <c r="C172" s="16" t="s">
        <v>607</v>
      </c>
      <c r="D172" s="15" t="s">
        <v>1590</v>
      </c>
      <c r="E172" s="17" t="s">
        <v>1293</v>
      </c>
      <c r="F172" s="18" t="s">
        <v>608</v>
      </c>
      <c r="G172" s="18"/>
      <c r="H172" s="18" t="s">
        <v>562</v>
      </c>
      <c r="I172" s="14" t="s">
        <v>1294</v>
      </c>
      <c r="J172" s="18"/>
      <c r="K172" s="18"/>
      <c r="M172" s="20" t="str">
        <f t="shared" si="2"/>
        <v>Hieraaetus fasciatus</v>
      </c>
    </row>
    <row r="173" spans="1:13" ht="15" customHeight="1" x14ac:dyDescent="0.2">
      <c r="A173" s="14" t="s">
        <v>31</v>
      </c>
      <c r="B173" s="15">
        <v>11959</v>
      </c>
      <c r="C173" s="16" t="s">
        <v>434</v>
      </c>
      <c r="D173" s="14" t="s">
        <v>1591</v>
      </c>
      <c r="E173" s="17" t="s">
        <v>1293</v>
      </c>
      <c r="F173" s="18" t="s">
        <v>661</v>
      </c>
      <c r="G173" s="18"/>
      <c r="H173" s="18" t="s">
        <v>547</v>
      </c>
      <c r="I173" s="14" t="s">
        <v>1294</v>
      </c>
      <c r="J173" s="18"/>
      <c r="K173" s="18"/>
      <c r="M173" s="20" t="str">
        <f t="shared" si="2"/>
        <v>Hieraaetus pennatus</v>
      </c>
    </row>
    <row r="174" spans="1:13" ht="15" customHeight="1" x14ac:dyDescent="0.2">
      <c r="A174" s="14" t="s">
        <v>31</v>
      </c>
      <c r="B174" s="15">
        <v>11446</v>
      </c>
      <c r="C174" s="16" t="s">
        <v>345</v>
      </c>
      <c r="D174" s="14" t="s">
        <v>1592</v>
      </c>
      <c r="E174" s="17" t="s">
        <v>1293</v>
      </c>
      <c r="F174" s="18" t="s">
        <v>832</v>
      </c>
      <c r="G174" s="18"/>
      <c r="H174" s="18" t="s">
        <v>547</v>
      </c>
      <c r="I174" s="14" t="s">
        <v>1294</v>
      </c>
      <c r="J174" s="18"/>
      <c r="K174" s="18"/>
      <c r="M174" s="20" t="str">
        <f t="shared" si="2"/>
        <v>Himantopus himantopus</v>
      </c>
    </row>
    <row r="175" spans="1:13" ht="15" customHeight="1" x14ac:dyDescent="0.2">
      <c r="A175" s="14" t="s">
        <v>31</v>
      </c>
      <c r="B175" s="15">
        <v>16402</v>
      </c>
      <c r="C175" s="16" t="s">
        <v>1593</v>
      </c>
      <c r="D175" s="14" t="s">
        <v>1594</v>
      </c>
      <c r="E175" s="17" t="s">
        <v>1293</v>
      </c>
      <c r="F175" s="18" t="s">
        <v>1595</v>
      </c>
      <c r="G175" s="18"/>
      <c r="H175" s="18" t="s">
        <v>547</v>
      </c>
      <c r="I175" s="14" t="s">
        <v>1294</v>
      </c>
      <c r="J175" s="18"/>
      <c r="K175" s="18"/>
      <c r="M175" s="20" t="str">
        <f t="shared" si="2"/>
        <v>Hippolais icterina</v>
      </c>
    </row>
    <row r="176" spans="1:13" ht="15" customHeight="1" x14ac:dyDescent="0.2">
      <c r="A176" s="14" t="s">
        <v>31</v>
      </c>
      <c r="B176" s="15">
        <v>33081</v>
      </c>
      <c r="C176" s="16" t="s">
        <v>980</v>
      </c>
      <c r="D176" s="15" t="s">
        <v>1596</v>
      </c>
      <c r="E176" s="17" t="s">
        <v>1293</v>
      </c>
      <c r="F176" s="18" t="s">
        <v>981</v>
      </c>
      <c r="G176" s="18"/>
      <c r="H176" s="18" t="s">
        <v>547</v>
      </c>
      <c r="I176" s="14" t="s">
        <v>1294</v>
      </c>
      <c r="J176" s="18"/>
      <c r="K176" s="18"/>
      <c r="M176" s="20" t="str">
        <f t="shared" si="2"/>
        <v>Hippolais pallida</v>
      </c>
    </row>
    <row r="177" spans="1:13" ht="15" customHeight="1" x14ac:dyDescent="0.2">
      <c r="A177" s="14" t="s">
        <v>31</v>
      </c>
      <c r="B177" s="15">
        <v>12009</v>
      </c>
      <c r="C177" s="16" t="s">
        <v>229</v>
      </c>
      <c r="D177" s="14" t="s">
        <v>1597</v>
      </c>
      <c r="E177" s="17" t="s">
        <v>1293</v>
      </c>
      <c r="F177" s="18" t="s">
        <v>598</v>
      </c>
      <c r="G177" s="18"/>
      <c r="H177" s="18" t="s">
        <v>547</v>
      </c>
      <c r="I177" s="14" t="s">
        <v>1294</v>
      </c>
      <c r="J177" s="18"/>
      <c r="K177" s="18"/>
      <c r="M177" s="20" t="str">
        <f t="shared" si="2"/>
        <v>Hippolais polyglotta</v>
      </c>
    </row>
    <row r="178" spans="1:13" ht="15" customHeight="1" x14ac:dyDescent="0.2">
      <c r="A178" s="14" t="s">
        <v>31</v>
      </c>
      <c r="B178" s="15">
        <v>11132</v>
      </c>
      <c r="C178" s="16" t="s">
        <v>946</v>
      </c>
      <c r="D178" s="15" t="s">
        <v>1598</v>
      </c>
      <c r="E178" s="17" t="s">
        <v>1293</v>
      </c>
      <c r="F178" s="18" t="s">
        <v>555</v>
      </c>
      <c r="G178" s="18"/>
      <c r="H178" s="18" t="s">
        <v>547</v>
      </c>
      <c r="I178" s="14" t="s">
        <v>1294</v>
      </c>
      <c r="J178" s="18"/>
      <c r="K178" s="18"/>
      <c r="M178" s="20" t="str">
        <f t="shared" si="2"/>
        <v>Hirundo daurica</v>
      </c>
    </row>
    <row r="179" spans="1:13" ht="15" customHeight="1" x14ac:dyDescent="0.2">
      <c r="A179" s="14" t="s">
        <v>31</v>
      </c>
      <c r="B179" s="15">
        <v>12134</v>
      </c>
      <c r="C179" s="16" t="s">
        <v>402</v>
      </c>
      <c r="D179" s="15" t="s">
        <v>1599</v>
      </c>
      <c r="E179" s="17" t="s">
        <v>1293</v>
      </c>
      <c r="F179" s="18" t="s">
        <v>649</v>
      </c>
      <c r="G179" s="18"/>
      <c r="H179" s="18" t="s">
        <v>547</v>
      </c>
      <c r="I179" s="14" t="s">
        <v>1294</v>
      </c>
      <c r="J179" s="18"/>
      <c r="K179" s="18"/>
      <c r="M179" s="20" t="str">
        <f t="shared" si="2"/>
        <v>Hirundo rustica</v>
      </c>
    </row>
    <row r="180" spans="1:13" ht="15" customHeight="1" x14ac:dyDescent="0.2">
      <c r="A180" s="14" t="s">
        <v>31</v>
      </c>
      <c r="B180" s="15">
        <v>14023</v>
      </c>
      <c r="C180" s="16" t="s">
        <v>738</v>
      </c>
      <c r="D180" s="15" t="s">
        <v>1600</v>
      </c>
      <c r="E180" s="17" t="s">
        <v>1293</v>
      </c>
      <c r="F180" s="18" t="s">
        <v>739</v>
      </c>
      <c r="G180" s="18"/>
      <c r="H180" s="18" t="s">
        <v>547</v>
      </c>
      <c r="I180" s="14" t="s">
        <v>1294</v>
      </c>
      <c r="J180" s="18"/>
      <c r="K180" s="18"/>
      <c r="M180" s="20" t="str">
        <f t="shared" si="2"/>
        <v>Hydrobates pelagicus</v>
      </c>
    </row>
    <row r="181" spans="1:13" ht="15" customHeight="1" x14ac:dyDescent="0.2">
      <c r="A181" s="14" t="s">
        <v>31</v>
      </c>
      <c r="B181" s="15">
        <v>11750</v>
      </c>
      <c r="C181" s="16" t="s">
        <v>757</v>
      </c>
      <c r="D181" s="15" t="s">
        <v>1601</v>
      </c>
      <c r="E181" s="17" t="s">
        <v>1293</v>
      </c>
      <c r="F181" s="18" t="s">
        <v>758</v>
      </c>
      <c r="G181" s="18"/>
      <c r="H181" s="18" t="s">
        <v>547</v>
      </c>
      <c r="I181" s="14" t="s">
        <v>1294</v>
      </c>
      <c r="J181" s="18"/>
      <c r="K181" s="18"/>
      <c r="M181" s="20" t="str">
        <f t="shared" si="2"/>
        <v>Ixobrychus minutus</v>
      </c>
    </row>
    <row r="182" spans="1:13" ht="15" customHeight="1" x14ac:dyDescent="0.2">
      <c r="A182" s="14" t="s">
        <v>31</v>
      </c>
      <c r="B182" s="15">
        <v>12326</v>
      </c>
      <c r="C182" s="16" t="s">
        <v>638</v>
      </c>
      <c r="D182" s="15" t="s">
        <v>1602</v>
      </c>
      <c r="E182" s="17" t="s">
        <v>1293</v>
      </c>
      <c r="F182" s="18" t="s">
        <v>639</v>
      </c>
      <c r="G182" s="18"/>
      <c r="H182" s="18" t="s">
        <v>547</v>
      </c>
      <c r="I182" s="14" t="s">
        <v>1294</v>
      </c>
      <c r="J182" s="18"/>
      <c r="K182" s="18"/>
      <c r="M182" s="20" t="str">
        <f t="shared" si="2"/>
        <v>Jynx torquilla</v>
      </c>
    </row>
    <row r="183" spans="1:13" ht="15" customHeight="1" x14ac:dyDescent="0.2">
      <c r="A183" s="14" t="s">
        <v>31</v>
      </c>
      <c r="B183" s="15">
        <v>11800</v>
      </c>
      <c r="C183" s="16" t="s">
        <v>1603</v>
      </c>
      <c r="D183" s="14" t="s">
        <v>1604</v>
      </c>
      <c r="E183" s="17" t="s">
        <v>1293</v>
      </c>
      <c r="F183" s="18" t="s">
        <v>1605</v>
      </c>
      <c r="G183" s="18"/>
      <c r="H183" s="18" t="s">
        <v>562</v>
      </c>
      <c r="I183" s="14" t="s">
        <v>1294</v>
      </c>
      <c r="J183" s="18"/>
      <c r="K183" s="18"/>
      <c r="M183" s="20" t="str">
        <f t="shared" si="2"/>
        <v>Lagopus muta</v>
      </c>
    </row>
    <row r="184" spans="1:13" ht="15" customHeight="1" x14ac:dyDescent="0.2">
      <c r="A184" s="14" t="s">
        <v>31</v>
      </c>
      <c r="B184" s="15">
        <v>11055</v>
      </c>
      <c r="C184" s="16" t="s">
        <v>1606</v>
      </c>
      <c r="D184" s="14" t="s">
        <v>1607</v>
      </c>
      <c r="E184" s="17" t="s">
        <v>1293</v>
      </c>
      <c r="F184" s="18" t="s">
        <v>1608</v>
      </c>
      <c r="G184" s="18"/>
      <c r="H184" s="18" t="s">
        <v>547</v>
      </c>
      <c r="I184" s="14" t="s">
        <v>1294</v>
      </c>
      <c r="J184" s="18"/>
      <c r="K184" s="18"/>
      <c r="M184" s="20" t="str">
        <f t="shared" si="2"/>
        <v>Lanius collurio</v>
      </c>
    </row>
    <row r="185" spans="1:13" ht="15" customHeight="1" x14ac:dyDescent="0.2">
      <c r="A185" s="14" t="s">
        <v>31</v>
      </c>
      <c r="B185" s="15">
        <v>16426</v>
      </c>
      <c r="C185" s="16" t="s">
        <v>1609</v>
      </c>
      <c r="D185" s="14" t="s">
        <v>1610</v>
      </c>
      <c r="E185" s="17" t="s">
        <v>1293</v>
      </c>
      <c r="F185" s="18" t="s">
        <v>1009</v>
      </c>
      <c r="G185" s="18"/>
      <c r="H185" s="18" t="s">
        <v>547</v>
      </c>
      <c r="I185" s="14" t="s">
        <v>1294</v>
      </c>
      <c r="J185" s="18"/>
      <c r="K185" s="18"/>
      <c r="M185" s="20" t="str">
        <f t="shared" si="2"/>
        <v>Lanius meridionalis</v>
      </c>
    </row>
    <row r="186" spans="1:13" ht="15" customHeight="1" x14ac:dyDescent="0.2">
      <c r="A186" s="14" t="s">
        <v>31</v>
      </c>
      <c r="B186" s="15">
        <v>11741</v>
      </c>
      <c r="C186" s="16" t="s">
        <v>1611</v>
      </c>
      <c r="D186" s="14" t="s">
        <v>1612</v>
      </c>
      <c r="E186" s="17" t="s">
        <v>1293</v>
      </c>
      <c r="F186" s="18" t="s">
        <v>1613</v>
      </c>
      <c r="G186" s="18"/>
      <c r="H186" s="18" t="s">
        <v>1300</v>
      </c>
      <c r="I186" s="14" t="s">
        <v>1294</v>
      </c>
      <c r="J186" s="18"/>
      <c r="K186" s="18"/>
      <c r="M186" s="20" t="str">
        <f t="shared" si="2"/>
        <v>Lanius minor</v>
      </c>
    </row>
    <row r="187" spans="1:13" ht="15" customHeight="1" x14ac:dyDescent="0.2">
      <c r="A187" s="14" t="s">
        <v>31</v>
      </c>
      <c r="B187" s="15">
        <v>12190</v>
      </c>
      <c r="C187" s="16" t="s">
        <v>512</v>
      </c>
      <c r="D187" s="14" t="s">
        <v>1614</v>
      </c>
      <c r="E187" s="17" t="s">
        <v>1293</v>
      </c>
      <c r="F187" s="18" t="s">
        <v>690</v>
      </c>
      <c r="G187" s="18"/>
      <c r="H187" s="18" t="s">
        <v>547</v>
      </c>
      <c r="I187" s="14" t="s">
        <v>1294</v>
      </c>
      <c r="J187" s="18"/>
      <c r="K187" s="18"/>
      <c r="M187" s="20" t="str">
        <f t="shared" si="2"/>
        <v>Lanius senator</v>
      </c>
    </row>
    <row r="188" spans="1:13" ht="15" customHeight="1" x14ac:dyDescent="0.2">
      <c r="A188" s="14" t="s">
        <v>31</v>
      </c>
      <c r="B188" s="15">
        <v>14053</v>
      </c>
      <c r="C188" s="16" t="s">
        <v>890</v>
      </c>
      <c r="D188" s="14" t="s">
        <v>1615</v>
      </c>
      <c r="E188" s="17" t="s">
        <v>1293</v>
      </c>
      <c r="F188" s="18" t="s">
        <v>891</v>
      </c>
      <c r="G188" s="18"/>
      <c r="H188" s="18" t="s">
        <v>562</v>
      </c>
      <c r="I188" s="14" t="s">
        <v>1294</v>
      </c>
      <c r="J188" s="18"/>
      <c r="K188" s="18"/>
      <c r="M188" s="20" t="str">
        <f t="shared" si="2"/>
        <v>Larus audouinii</v>
      </c>
    </row>
    <row r="189" spans="1:13" ht="15" customHeight="1" x14ac:dyDescent="0.2">
      <c r="A189" s="14" t="s">
        <v>31</v>
      </c>
      <c r="B189" s="15">
        <v>14056</v>
      </c>
      <c r="C189" s="16" t="s">
        <v>892</v>
      </c>
      <c r="D189" s="14" t="s">
        <v>1616</v>
      </c>
      <c r="E189" s="17" t="s">
        <v>1293</v>
      </c>
      <c r="F189" s="18" t="s">
        <v>893</v>
      </c>
      <c r="G189" s="18"/>
      <c r="H189" s="18" t="s">
        <v>547</v>
      </c>
      <c r="I189" s="14" t="s">
        <v>1294</v>
      </c>
      <c r="J189" s="18"/>
      <c r="K189" s="18"/>
      <c r="M189" s="20" t="str">
        <f t="shared" si="2"/>
        <v>Larus canus</v>
      </c>
    </row>
    <row r="190" spans="1:13" ht="15" customHeight="1" x14ac:dyDescent="0.2">
      <c r="A190" s="14" t="s">
        <v>31</v>
      </c>
      <c r="B190" s="15">
        <v>14066</v>
      </c>
      <c r="C190" s="16" t="s">
        <v>896</v>
      </c>
      <c r="D190" s="14" t="s">
        <v>1617</v>
      </c>
      <c r="E190" s="17" t="s">
        <v>1293</v>
      </c>
      <c r="F190" s="18" t="s">
        <v>897</v>
      </c>
      <c r="G190" s="18"/>
      <c r="H190" s="18" t="s">
        <v>547</v>
      </c>
      <c r="I190" s="14" t="s">
        <v>1294</v>
      </c>
      <c r="J190" s="18"/>
      <c r="K190" s="18"/>
      <c r="M190" s="20" t="str">
        <f t="shared" si="2"/>
        <v>Larus marinus</v>
      </c>
    </row>
    <row r="191" spans="1:13" ht="15" customHeight="1" x14ac:dyDescent="0.2">
      <c r="A191" s="14" t="s">
        <v>31</v>
      </c>
      <c r="B191" s="15">
        <v>14050</v>
      </c>
      <c r="C191" s="16" t="s">
        <v>898</v>
      </c>
      <c r="D191" s="14" t="s">
        <v>1618</v>
      </c>
      <c r="E191" s="17" t="s">
        <v>1293</v>
      </c>
      <c r="F191" s="18" t="s">
        <v>899</v>
      </c>
      <c r="G191" s="18"/>
      <c r="H191" s="18" t="s">
        <v>547</v>
      </c>
      <c r="I191" s="14" t="s">
        <v>1294</v>
      </c>
      <c r="J191" s="18"/>
      <c r="K191" s="18"/>
      <c r="M191" s="20" t="str">
        <f t="shared" si="2"/>
        <v>Larus melanocephalus</v>
      </c>
    </row>
    <row r="192" spans="1:13" ht="15" customHeight="1" x14ac:dyDescent="0.2">
      <c r="A192" s="14" t="s">
        <v>31</v>
      </c>
      <c r="B192" s="15">
        <v>14071</v>
      </c>
      <c r="C192" s="16" t="s">
        <v>900</v>
      </c>
      <c r="D192" s="15" t="s">
        <v>1619</v>
      </c>
      <c r="E192" s="17" t="s">
        <v>1293</v>
      </c>
      <c r="F192" s="18" t="s">
        <v>901</v>
      </c>
      <c r="G192" s="18"/>
      <c r="H192" s="18" t="s">
        <v>547</v>
      </c>
      <c r="I192" s="14" t="s">
        <v>1294</v>
      </c>
      <c r="J192" s="18"/>
      <c r="K192" s="18"/>
      <c r="M192" s="20" t="str">
        <f t="shared" si="2"/>
        <v>Larus minutus</v>
      </c>
    </row>
    <row r="193" spans="1:13" ht="15" customHeight="1" x14ac:dyDescent="0.2">
      <c r="A193" s="14" t="s">
        <v>31</v>
      </c>
      <c r="B193" s="15">
        <v>11564</v>
      </c>
      <c r="C193" s="16" t="s">
        <v>864</v>
      </c>
      <c r="D193" s="14" t="s">
        <v>1620</v>
      </c>
      <c r="E193" s="17" t="s">
        <v>1293</v>
      </c>
      <c r="F193" s="18" t="s">
        <v>865</v>
      </c>
      <c r="G193" s="18"/>
      <c r="H193" s="18" t="s">
        <v>547</v>
      </c>
      <c r="I193" s="14" t="s">
        <v>1294</v>
      </c>
      <c r="J193" s="18"/>
      <c r="K193" s="18"/>
      <c r="M193" s="20" t="str">
        <f t="shared" si="2"/>
        <v>Limosa lapponica</v>
      </c>
    </row>
    <row r="194" spans="1:13" ht="15" customHeight="1" x14ac:dyDescent="0.2">
      <c r="A194" s="14" t="s">
        <v>31</v>
      </c>
      <c r="B194" s="15">
        <v>11600</v>
      </c>
      <c r="C194" s="16" t="s">
        <v>866</v>
      </c>
      <c r="D194" s="14" t="s">
        <v>1621</v>
      </c>
      <c r="E194" s="17" t="s">
        <v>1293</v>
      </c>
      <c r="F194" s="18" t="s">
        <v>867</v>
      </c>
      <c r="G194" s="18"/>
      <c r="H194" s="18" t="s">
        <v>547</v>
      </c>
      <c r="I194" s="14" t="s">
        <v>1294</v>
      </c>
      <c r="J194" s="18"/>
      <c r="K194" s="18"/>
      <c r="M194" s="20" t="str">
        <f t="shared" si="2"/>
        <v>Limosa limosa</v>
      </c>
    </row>
    <row r="195" spans="1:13" ht="15" customHeight="1" x14ac:dyDescent="0.2">
      <c r="A195" s="14" t="s">
        <v>31</v>
      </c>
      <c r="B195" s="15">
        <v>11630</v>
      </c>
      <c r="C195" s="16" t="s">
        <v>982</v>
      </c>
      <c r="D195" s="14" t="s">
        <v>1622</v>
      </c>
      <c r="E195" s="17" t="s">
        <v>1293</v>
      </c>
      <c r="F195" s="18" t="s">
        <v>983</v>
      </c>
      <c r="G195" s="18"/>
      <c r="H195" s="18" t="s">
        <v>547</v>
      </c>
      <c r="I195" s="14" t="s">
        <v>1294</v>
      </c>
      <c r="J195" s="18"/>
      <c r="K195" s="18"/>
      <c r="M195" s="20" t="str">
        <f t="shared" ref="M195:M258" si="3">TRIM(C195)</f>
        <v>Locustella luscinioides</v>
      </c>
    </row>
    <row r="196" spans="1:13" ht="15" customHeight="1" x14ac:dyDescent="0.2">
      <c r="A196" s="14" t="s">
        <v>31</v>
      </c>
      <c r="B196" s="15">
        <v>11807</v>
      </c>
      <c r="C196" s="16" t="s">
        <v>984</v>
      </c>
      <c r="D196" s="14" t="s">
        <v>1623</v>
      </c>
      <c r="E196" s="17" t="s">
        <v>1293</v>
      </c>
      <c r="F196" s="18" t="s">
        <v>985</v>
      </c>
      <c r="G196" s="18"/>
      <c r="H196" s="18" t="s">
        <v>547</v>
      </c>
      <c r="I196" s="14" t="s">
        <v>1294</v>
      </c>
      <c r="J196" s="18"/>
      <c r="K196" s="18"/>
      <c r="M196" s="20" t="str">
        <f t="shared" si="3"/>
        <v>Locustella naevia</v>
      </c>
    </row>
    <row r="197" spans="1:13" ht="15" customHeight="1" x14ac:dyDescent="0.2">
      <c r="A197" s="14" t="s">
        <v>31</v>
      </c>
      <c r="B197" s="15">
        <v>16421</v>
      </c>
      <c r="C197" s="16" t="s">
        <v>1005</v>
      </c>
      <c r="D197" s="14" t="s">
        <v>1624</v>
      </c>
      <c r="E197" s="17" t="s">
        <v>1293</v>
      </c>
      <c r="F197" s="18" t="s">
        <v>1006</v>
      </c>
      <c r="G197" s="18"/>
      <c r="H197" s="18" t="s">
        <v>547</v>
      </c>
      <c r="I197" s="14" t="s">
        <v>1294</v>
      </c>
      <c r="J197" s="18"/>
      <c r="K197" s="18"/>
      <c r="M197" s="20" t="str">
        <f t="shared" si="3"/>
        <v>Lophophanes cristatus</v>
      </c>
    </row>
    <row r="198" spans="1:13" ht="15" customHeight="1" x14ac:dyDescent="0.2">
      <c r="A198" s="14" t="s">
        <v>31</v>
      </c>
      <c r="B198" s="15">
        <v>11116</v>
      </c>
      <c r="C198" s="16" t="s">
        <v>556</v>
      </c>
      <c r="D198" s="14" t="s">
        <v>1625</v>
      </c>
      <c r="E198" s="17" t="s">
        <v>1293</v>
      </c>
      <c r="F198" s="18" t="s">
        <v>557</v>
      </c>
      <c r="G198" s="18"/>
      <c r="H198" s="18" t="s">
        <v>547</v>
      </c>
      <c r="I198" s="14" t="s">
        <v>1294</v>
      </c>
      <c r="J198" s="18"/>
      <c r="K198" s="18"/>
      <c r="M198" s="20" t="str">
        <f t="shared" si="3"/>
        <v>Loxia curvirostra</v>
      </c>
    </row>
    <row r="199" spans="1:13" ht="15" customHeight="1" x14ac:dyDescent="0.2">
      <c r="A199" s="14" t="s">
        <v>31</v>
      </c>
      <c r="B199" s="15">
        <v>10750</v>
      </c>
      <c r="C199" s="16" t="s">
        <v>650</v>
      </c>
      <c r="D199" s="14" t="s">
        <v>1626</v>
      </c>
      <c r="E199" s="17" t="s">
        <v>1293</v>
      </c>
      <c r="F199" s="18" t="s">
        <v>651</v>
      </c>
      <c r="G199" s="18"/>
      <c r="H199" s="18" t="s">
        <v>547</v>
      </c>
      <c r="I199" s="14" t="s">
        <v>1294</v>
      </c>
      <c r="J199" s="18"/>
      <c r="K199" s="18"/>
      <c r="M199" s="20" t="str">
        <f t="shared" si="3"/>
        <v>Lullula arborea</v>
      </c>
    </row>
    <row r="200" spans="1:13" ht="15" customHeight="1" x14ac:dyDescent="0.2">
      <c r="A200" s="14" t="s">
        <v>31</v>
      </c>
      <c r="B200" s="15">
        <v>11701</v>
      </c>
      <c r="C200" s="16" t="s">
        <v>430</v>
      </c>
      <c r="D200" s="14" t="s">
        <v>1627</v>
      </c>
      <c r="E200" s="17" t="s">
        <v>1293</v>
      </c>
      <c r="F200" s="18" t="s">
        <v>658</v>
      </c>
      <c r="G200" s="18"/>
      <c r="H200" s="18" t="s">
        <v>547</v>
      </c>
      <c r="I200" s="14" t="s">
        <v>1294</v>
      </c>
      <c r="J200" s="18"/>
      <c r="K200" s="18"/>
      <c r="M200" s="20" t="str">
        <f t="shared" si="3"/>
        <v>Luscinia megarhynchos</v>
      </c>
    </row>
    <row r="201" spans="1:13" ht="15" customHeight="1" x14ac:dyDescent="0.2">
      <c r="A201" s="14" t="s">
        <v>31</v>
      </c>
      <c r="B201" s="15">
        <v>12282</v>
      </c>
      <c r="C201" s="16" t="s">
        <v>964</v>
      </c>
      <c r="D201" s="14" t="s">
        <v>1628</v>
      </c>
      <c r="E201" s="17" t="s">
        <v>1293</v>
      </c>
      <c r="F201" s="18" t="s">
        <v>965</v>
      </c>
      <c r="G201" s="18"/>
      <c r="H201" s="18" t="s">
        <v>547</v>
      </c>
      <c r="I201" s="14" t="s">
        <v>1294</v>
      </c>
      <c r="J201" s="18"/>
      <c r="K201" s="18"/>
      <c r="M201" s="20" t="str">
        <f t="shared" si="3"/>
        <v>Luscinia svecica</v>
      </c>
    </row>
    <row r="202" spans="1:13" ht="16.5" customHeight="1" x14ac:dyDescent="0.2">
      <c r="A202" s="14" t="s">
        <v>31</v>
      </c>
      <c r="B202" s="15">
        <v>10699</v>
      </c>
      <c r="C202" s="16" t="s">
        <v>776</v>
      </c>
      <c r="D202" s="14" t="s">
        <v>1629</v>
      </c>
      <c r="E202" s="17" t="s">
        <v>1293</v>
      </c>
      <c r="F202" s="18" t="s">
        <v>777</v>
      </c>
      <c r="G202" s="18"/>
      <c r="H202" s="18" t="s">
        <v>1300</v>
      </c>
      <c r="I202" s="14" t="s">
        <v>1294</v>
      </c>
      <c r="J202" s="18"/>
      <c r="K202" s="18"/>
      <c r="M202" s="20" t="str">
        <f t="shared" si="3"/>
        <v>Marmaronetta angustirostris</v>
      </c>
    </row>
    <row r="203" spans="1:13" ht="15" customHeight="1" x14ac:dyDescent="0.2">
      <c r="A203" s="14" t="s">
        <v>31</v>
      </c>
      <c r="B203" s="15">
        <v>10937</v>
      </c>
      <c r="C203" s="16" t="s">
        <v>516</v>
      </c>
      <c r="D203" s="14" t="s">
        <v>1630</v>
      </c>
      <c r="E203" s="17" t="s">
        <v>1293</v>
      </c>
      <c r="F203" s="18" t="s">
        <v>945</v>
      </c>
      <c r="G203" s="18"/>
      <c r="H203" s="18" t="s">
        <v>547</v>
      </c>
      <c r="I203" s="14" t="s">
        <v>1294</v>
      </c>
      <c r="J203" s="18"/>
      <c r="K203" s="18"/>
      <c r="M203" s="20" t="str">
        <f t="shared" si="3"/>
        <v>Melanocorypha calandra</v>
      </c>
    </row>
    <row r="204" spans="1:13" ht="15" customHeight="1" x14ac:dyDescent="0.2">
      <c r="A204" s="14" t="s">
        <v>31</v>
      </c>
      <c r="B204" s="15">
        <v>10738</v>
      </c>
      <c r="C204" s="16" t="s">
        <v>508</v>
      </c>
      <c r="D204" s="14" t="s">
        <v>1631</v>
      </c>
      <c r="E204" s="17" t="s">
        <v>1293</v>
      </c>
      <c r="F204" s="18" t="s">
        <v>685</v>
      </c>
      <c r="G204" s="18"/>
      <c r="H204" s="18" t="s">
        <v>547</v>
      </c>
      <c r="I204" s="14" t="s">
        <v>1294</v>
      </c>
      <c r="J204" s="18"/>
      <c r="K204" s="18"/>
      <c r="M204" s="20" t="str">
        <f t="shared" si="3"/>
        <v>Merops apiaster</v>
      </c>
    </row>
    <row r="205" spans="1:13" ht="14.25" customHeight="1" x14ac:dyDescent="0.2">
      <c r="A205" s="14" t="s">
        <v>31</v>
      </c>
      <c r="B205" s="15">
        <v>11735</v>
      </c>
      <c r="C205" s="16" t="s">
        <v>138</v>
      </c>
      <c r="D205" s="14" t="s">
        <v>1632</v>
      </c>
      <c r="E205" s="17" t="s">
        <v>1293</v>
      </c>
      <c r="F205" s="18" t="s">
        <v>800</v>
      </c>
      <c r="G205" s="18"/>
      <c r="H205" s="18" t="s">
        <v>547</v>
      </c>
      <c r="I205" s="14" t="s">
        <v>1294</v>
      </c>
      <c r="J205" s="18"/>
      <c r="K205" s="18"/>
      <c r="M205" s="20" t="str">
        <f t="shared" si="3"/>
        <v>Milvus migrans</v>
      </c>
    </row>
    <row r="206" spans="1:13" ht="15" customHeight="1" x14ac:dyDescent="0.2">
      <c r="A206" s="14" t="s">
        <v>31</v>
      </c>
      <c r="B206" s="15">
        <v>11737</v>
      </c>
      <c r="C206" s="16" t="s">
        <v>1633</v>
      </c>
      <c r="D206" s="14" t="s">
        <v>1634</v>
      </c>
      <c r="E206" s="17" t="s">
        <v>1293</v>
      </c>
      <c r="F206" s="18" t="s">
        <v>801</v>
      </c>
      <c r="G206" s="18"/>
      <c r="H206" s="18" t="s">
        <v>1300</v>
      </c>
      <c r="I206" s="14" t="s">
        <v>1294</v>
      </c>
      <c r="J206" s="18"/>
      <c r="K206" s="18"/>
      <c r="M206" s="20" t="str">
        <f t="shared" si="3"/>
        <v>Milvus milvus</v>
      </c>
    </row>
    <row r="207" spans="1:13" ht="15" customHeight="1" x14ac:dyDescent="0.2">
      <c r="A207" s="14" t="s">
        <v>31</v>
      </c>
      <c r="B207" s="15">
        <v>12155</v>
      </c>
      <c r="C207" s="16" t="s">
        <v>652</v>
      </c>
      <c r="D207" s="14" t="s">
        <v>1635</v>
      </c>
      <c r="E207" s="17" t="s">
        <v>1293</v>
      </c>
      <c r="F207" s="18" t="s">
        <v>653</v>
      </c>
      <c r="G207" s="18"/>
      <c r="H207" s="18" t="s">
        <v>547</v>
      </c>
      <c r="I207" s="14" t="s">
        <v>1294</v>
      </c>
      <c r="J207" s="18"/>
      <c r="K207" s="18"/>
      <c r="M207" s="20" t="str">
        <f t="shared" si="3"/>
        <v>Monticola saxatilis</v>
      </c>
    </row>
    <row r="208" spans="1:13" ht="15" customHeight="1" x14ac:dyDescent="0.2">
      <c r="A208" s="14" t="s">
        <v>31</v>
      </c>
      <c r="B208" s="15">
        <v>12226</v>
      </c>
      <c r="C208" s="16" t="s">
        <v>640</v>
      </c>
      <c r="D208" s="14" t="s">
        <v>1636</v>
      </c>
      <c r="E208" s="17" t="s">
        <v>1293</v>
      </c>
      <c r="F208" s="18" t="s">
        <v>641</v>
      </c>
      <c r="G208" s="18"/>
      <c r="H208" s="18" t="s">
        <v>547</v>
      </c>
      <c r="I208" s="14" t="s">
        <v>1294</v>
      </c>
      <c r="J208" s="18"/>
      <c r="K208" s="18"/>
      <c r="M208" s="20" t="str">
        <f t="shared" si="3"/>
        <v>Monticola solitarius</v>
      </c>
    </row>
    <row r="209" spans="1:13" ht="15" customHeight="1" x14ac:dyDescent="0.2">
      <c r="A209" s="14" t="s">
        <v>31</v>
      </c>
      <c r="B209" s="15">
        <v>11858</v>
      </c>
      <c r="C209" s="16" t="s">
        <v>1637</v>
      </c>
      <c r="D209" s="14" t="s">
        <v>1638</v>
      </c>
      <c r="E209" s="17" t="s">
        <v>1293</v>
      </c>
      <c r="F209" s="18" t="s">
        <v>1639</v>
      </c>
      <c r="G209" s="18"/>
      <c r="H209" s="18" t="s">
        <v>547</v>
      </c>
      <c r="I209" s="14" t="s">
        <v>1294</v>
      </c>
      <c r="J209" s="18"/>
      <c r="K209" s="18"/>
      <c r="M209" s="20" t="str">
        <f t="shared" si="3"/>
        <v>Montifringilla nivalis</v>
      </c>
    </row>
    <row r="210" spans="1:13" ht="15" customHeight="1" x14ac:dyDescent="0.2">
      <c r="A210" s="14" t="s">
        <v>31</v>
      </c>
      <c r="B210" s="15">
        <v>14031</v>
      </c>
      <c r="C210" s="16" t="s">
        <v>743</v>
      </c>
      <c r="D210" s="14" t="s">
        <v>1640</v>
      </c>
      <c r="E210" s="17" t="s">
        <v>1293</v>
      </c>
      <c r="F210" s="18" t="s">
        <v>744</v>
      </c>
      <c r="G210" s="18"/>
      <c r="H210" s="18" t="s">
        <v>547</v>
      </c>
      <c r="I210" s="14" t="s">
        <v>1294</v>
      </c>
      <c r="J210" s="18"/>
      <c r="K210" s="18"/>
      <c r="M210" s="20" t="str">
        <f t="shared" si="3"/>
        <v>Morus bassanus</v>
      </c>
    </row>
    <row r="211" spans="1:13" ht="15" customHeight="1" x14ac:dyDescent="0.2">
      <c r="A211" s="14" t="s">
        <v>31</v>
      </c>
      <c r="B211" s="15">
        <v>10648</v>
      </c>
      <c r="C211" s="16" t="s">
        <v>237</v>
      </c>
      <c r="D211" s="14" t="s">
        <v>1641</v>
      </c>
      <c r="E211" s="17" t="s">
        <v>1293</v>
      </c>
      <c r="F211" s="18" t="s">
        <v>603</v>
      </c>
      <c r="G211" s="18"/>
      <c r="H211" s="18" t="s">
        <v>547</v>
      </c>
      <c r="I211" s="14" t="s">
        <v>1294</v>
      </c>
      <c r="J211" s="18"/>
      <c r="K211" s="18"/>
      <c r="M211" s="20" t="str">
        <f t="shared" si="3"/>
        <v>Motacilla alba</v>
      </c>
    </row>
    <row r="212" spans="1:13" ht="15" customHeight="1" x14ac:dyDescent="0.2">
      <c r="A212" s="14" t="s">
        <v>31</v>
      </c>
      <c r="B212" s="15">
        <v>10898</v>
      </c>
      <c r="C212" s="16" t="s">
        <v>580</v>
      </c>
      <c r="D212" s="14" t="s">
        <v>1642</v>
      </c>
      <c r="E212" s="17" t="s">
        <v>1293</v>
      </c>
      <c r="F212" s="18" t="s">
        <v>581</v>
      </c>
      <c r="G212" s="18"/>
      <c r="H212" s="18" t="s">
        <v>547</v>
      </c>
      <c r="I212" s="14" t="s">
        <v>1294</v>
      </c>
      <c r="J212" s="18"/>
      <c r="K212" s="18"/>
      <c r="M212" s="20" t="str">
        <f t="shared" si="3"/>
        <v>Motacilla cinerea</v>
      </c>
    </row>
    <row r="213" spans="1:13" ht="15" customHeight="1" x14ac:dyDescent="0.2">
      <c r="A213" s="14" t="s">
        <v>31</v>
      </c>
      <c r="B213" s="15">
        <v>11274</v>
      </c>
      <c r="C213" s="16" t="s">
        <v>954</v>
      </c>
      <c r="D213" s="14" t="s">
        <v>1643</v>
      </c>
      <c r="E213" s="17" t="s">
        <v>1293</v>
      </c>
      <c r="F213" s="18" t="s">
        <v>955</v>
      </c>
      <c r="G213" s="18"/>
      <c r="H213" s="18" t="s">
        <v>547</v>
      </c>
      <c r="I213" s="14" t="s">
        <v>1294</v>
      </c>
      <c r="J213" s="18"/>
      <c r="K213" s="18"/>
      <c r="M213" s="20" t="str">
        <f t="shared" si="3"/>
        <v>Motacilla flava</v>
      </c>
    </row>
    <row r="214" spans="1:13" ht="15" customHeight="1" x14ac:dyDescent="0.2">
      <c r="A214" s="14" t="s">
        <v>31</v>
      </c>
      <c r="B214" s="15">
        <v>12250</v>
      </c>
      <c r="C214" s="16" t="s">
        <v>683</v>
      </c>
      <c r="D214" s="14" t="s">
        <v>1644</v>
      </c>
      <c r="E214" s="17" t="s">
        <v>1293</v>
      </c>
      <c r="F214" s="18" t="s">
        <v>684</v>
      </c>
      <c r="G214" s="18"/>
      <c r="H214" s="18" t="s">
        <v>547</v>
      </c>
      <c r="I214" s="14" t="s">
        <v>1294</v>
      </c>
      <c r="J214" s="18"/>
      <c r="K214" s="18"/>
      <c r="M214" s="20" t="str">
        <f t="shared" si="3"/>
        <v>Muscicapa striata</v>
      </c>
    </row>
    <row r="215" spans="1:13" ht="15" customHeight="1" x14ac:dyDescent="0.2">
      <c r="A215" s="14" t="s">
        <v>31</v>
      </c>
      <c r="B215" s="15">
        <v>11961</v>
      </c>
      <c r="C215" s="16" t="s">
        <v>1645</v>
      </c>
      <c r="D215" s="14" t="s">
        <v>1646</v>
      </c>
      <c r="E215" s="17" t="s">
        <v>1293</v>
      </c>
      <c r="F215" s="18" t="s">
        <v>802</v>
      </c>
      <c r="G215" s="18" t="s">
        <v>1324</v>
      </c>
      <c r="H215" s="18" t="s">
        <v>562</v>
      </c>
      <c r="I215" s="14" t="s">
        <v>1294</v>
      </c>
      <c r="J215" s="18"/>
      <c r="K215" s="18"/>
      <c r="M215" s="20" t="str">
        <f t="shared" si="3"/>
        <v>Neophron percnopterus</v>
      </c>
    </row>
    <row r="216" spans="1:13" ht="31.15" customHeight="1" x14ac:dyDescent="0.25">
      <c r="A216" s="14" t="s">
        <v>31</v>
      </c>
      <c r="B216" s="15">
        <v>23776</v>
      </c>
      <c r="C216" s="16" t="s">
        <v>1647</v>
      </c>
      <c r="D216" s="39" t="s">
        <v>1648</v>
      </c>
      <c r="E216" s="18" t="s">
        <v>1318</v>
      </c>
      <c r="F216" s="18" t="s">
        <v>1649</v>
      </c>
      <c r="G216" s="18" t="s">
        <v>1465</v>
      </c>
      <c r="H216" s="18" t="s">
        <v>1300</v>
      </c>
      <c r="I216" s="14" t="s">
        <v>1294</v>
      </c>
      <c r="J216" s="18"/>
      <c r="K216" s="18"/>
      <c r="M216" s="20" t="str">
        <f t="shared" si="3"/>
        <v>Neophron percnopterus majorensis</v>
      </c>
    </row>
    <row r="217" spans="1:13" ht="15" customHeight="1" x14ac:dyDescent="0.2">
      <c r="A217" s="14" t="s">
        <v>31</v>
      </c>
      <c r="B217" s="15">
        <v>10763</v>
      </c>
      <c r="C217" s="16" t="s">
        <v>868</v>
      </c>
      <c r="D217" s="14" t="s">
        <v>1650</v>
      </c>
      <c r="E217" s="17" t="s">
        <v>1293</v>
      </c>
      <c r="F217" s="18" t="s">
        <v>869</v>
      </c>
      <c r="G217" s="18" t="s">
        <v>1651</v>
      </c>
      <c r="H217" s="18" t="s">
        <v>547</v>
      </c>
      <c r="I217" s="14" t="s">
        <v>1294</v>
      </c>
      <c r="J217" s="18"/>
      <c r="K217" s="18"/>
      <c r="M217" s="20" t="str">
        <f t="shared" si="3"/>
        <v>Numenius arquata</v>
      </c>
    </row>
    <row r="218" spans="1:13" ht="15" customHeight="1" x14ac:dyDescent="0.2">
      <c r="A218" s="14" t="s">
        <v>31</v>
      </c>
      <c r="B218" s="15">
        <v>10763</v>
      </c>
      <c r="C218" s="16" t="s">
        <v>868</v>
      </c>
      <c r="D218" s="14" t="s">
        <v>1650</v>
      </c>
      <c r="E218" s="17" t="s">
        <v>1293</v>
      </c>
      <c r="F218" s="18" t="s">
        <v>869</v>
      </c>
      <c r="G218" s="18" t="s">
        <v>1652</v>
      </c>
      <c r="H218" s="18" t="s">
        <v>1300</v>
      </c>
      <c r="I218" s="14" t="s">
        <v>1294</v>
      </c>
      <c r="J218" s="18"/>
      <c r="K218" s="18"/>
      <c r="M218" s="20" t="str">
        <f t="shared" si="3"/>
        <v>Numenius arquata</v>
      </c>
    </row>
    <row r="219" spans="1:13" ht="15" customHeight="1" x14ac:dyDescent="0.2">
      <c r="A219" s="14" t="s">
        <v>31</v>
      </c>
      <c r="B219" s="15">
        <v>11974</v>
      </c>
      <c r="C219" s="16" t="s">
        <v>1653</v>
      </c>
      <c r="D219" s="14" t="s">
        <v>1654</v>
      </c>
      <c r="E219" s="17" t="s">
        <v>1293</v>
      </c>
      <c r="F219" s="18" t="s">
        <v>870</v>
      </c>
      <c r="G219" s="18"/>
      <c r="H219" s="18" t="s">
        <v>547</v>
      </c>
      <c r="I219" s="14" t="s">
        <v>1294</v>
      </c>
      <c r="J219" s="18"/>
      <c r="K219" s="18"/>
      <c r="M219" s="20" t="str">
        <f t="shared" si="3"/>
        <v>Numenius phaeopus</v>
      </c>
    </row>
    <row r="220" spans="1:13" ht="15" customHeight="1" x14ac:dyDescent="0.2">
      <c r="A220" s="14" t="s">
        <v>31</v>
      </c>
      <c r="B220" s="15">
        <v>16347</v>
      </c>
      <c r="C220" s="16" t="s">
        <v>1655</v>
      </c>
      <c r="D220" s="15" t="s">
        <v>1656</v>
      </c>
      <c r="E220" s="17" t="s">
        <v>1293</v>
      </c>
      <c r="F220" s="18" t="s">
        <v>1657</v>
      </c>
      <c r="G220" s="18"/>
      <c r="H220" s="18" t="s">
        <v>547</v>
      </c>
      <c r="I220" s="14" t="s">
        <v>1294</v>
      </c>
      <c r="J220" s="18"/>
      <c r="K220" s="16"/>
      <c r="M220" s="20" t="str">
        <f t="shared" si="3"/>
        <v>Numenius tenuirostris</v>
      </c>
    </row>
    <row r="221" spans="1:13" ht="15.75" customHeight="1" x14ac:dyDescent="0.2">
      <c r="A221" s="14" t="s">
        <v>31</v>
      </c>
      <c r="B221" s="15">
        <v>11870</v>
      </c>
      <c r="C221" s="16" t="s">
        <v>759</v>
      </c>
      <c r="D221" s="14" t="s">
        <v>1658</v>
      </c>
      <c r="E221" s="17" t="s">
        <v>1293</v>
      </c>
      <c r="F221" s="18" t="s">
        <v>760</v>
      </c>
      <c r="G221" s="18"/>
      <c r="H221" s="18" t="s">
        <v>547</v>
      </c>
      <c r="I221" s="14" t="s">
        <v>1294</v>
      </c>
      <c r="J221" s="18"/>
      <c r="K221" s="18"/>
      <c r="M221" s="20" t="str">
        <f t="shared" si="3"/>
        <v>Nycticorax nycticorax</v>
      </c>
    </row>
    <row r="222" spans="1:13" ht="15" customHeight="1" x14ac:dyDescent="0.2">
      <c r="A222" s="14" t="s">
        <v>31</v>
      </c>
      <c r="B222" s="15">
        <v>33016</v>
      </c>
      <c r="C222" s="16" t="s">
        <v>1659</v>
      </c>
      <c r="D222" s="34" t="s">
        <v>1660</v>
      </c>
      <c r="E222" s="17" t="s">
        <v>1293</v>
      </c>
      <c r="F222" s="18" t="s">
        <v>1661</v>
      </c>
      <c r="G222" s="18"/>
      <c r="H222" s="18" t="s">
        <v>562</v>
      </c>
      <c r="I222" s="14" t="s">
        <v>1294</v>
      </c>
      <c r="J222" s="18"/>
      <c r="K222" s="18"/>
      <c r="M222" s="20" t="str">
        <f t="shared" si="3"/>
        <v>Oceanodroma castro</v>
      </c>
    </row>
    <row r="223" spans="1:13" ht="15" customHeight="1" x14ac:dyDescent="0.2">
      <c r="A223" s="14" t="s">
        <v>31</v>
      </c>
      <c r="B223" s="15">
        <v>33149</v>
      </c>
      <c r="C223" s="16" t="s">
        <v>740</v>
      </c>
      <c r="D223" s="40" t="s">
        <v>1662</v>
      </c>
      <c r="E223" s="17" t="s">
        <v>1293</v>
      </c>
      <c r="F223" s="18" t="s">
        <v>741</v>
      </c>
      <c r="G223" s="18"/>
      <c r="H223" s="18" t="s">
        <v>547</v>
      </c>
      <c r="I223" s="14" t="s">
        <v>1294</v>
      </c>
      <c r="J223" s="18"/>
      <c r="K223" s="18"/>
      <c r="M223" s="20" t="str">
        <f t="shared" si="3"/>
        <v>Oceanodroma leucorhoa</v>
      </c>
    </row>
    <row r="224" spans="1:13" ht="15" customHeight="1" x14ac:dyDescent="0.2">
      <c r="A224" s="14" t="s">
        <v>31</v>
      </c>
      <c r="B224" s="15">
        <v>11453</v>
      </c>
      <c r="C224" s="16" t="s">
        <v>533</v>
      </c>
      <c r="D224" s="14" t="s">
        <v>1663</v>
      </c>
      <c r="E224" s="17" t="s">
        <v>1293</v>
      </c>
      <c r="F224" s="18" t="s">
        <v>693</v>
      </c>
      <c r="G224" s="18"/>
      <c r="H224" s="18" t="s">
        <v>547</v>
      </c>
      <c r="I224" s="14" t="s">
        <v>1294</v>
      </c>
      <c r="J224" s="18"/>
      <c r="K224" s="18"/>
      <c r="M224" s="20" t="str">
        <f t="shared" si="3"/>
        <v>Oenanthe hispanica</v>
      </c>
    </row>
    <row r="225" spans="1:13" ht="15" customHeight="1" x14ac:dyDescent="0.2">
      <c r="A225" s="14" t="s">
        <v>31</v>
      </c>
      <c r="B225" s="15">
        <v>11592</v>
      </c>
      <c r="C225" s="16" t="s">
        <v>628</v>
      </c>
      <c r="D225" s="14" t="s">
        <v>1664</v>
      </c>
      <c r="E225" s="17" t="s">
        <v>1293</v>
      </c>
      <c r="F225" s="18" t="s">
        <v>629</v>
      </c>
      <c r="G225" s="18"/>
      <c r="H225" s="18" t="s">
        <v>547</v>
      </c>
      <c r="I225" s="14" t="s">
        <v>1294</v>
      </c>
      <c r="J225" s="18"/>
      <c r="K225" s="18"/>
      <c r="M225" s="20" t="str">
        <f t="shared" si="3"/>
        <v>Oenanthe leucura</v>
      </c>
    </row>
    <row r="226" spans="1:13" ht="15" customHeight="1" x14ac:dyDescent="0.2">
      <c r="A226" s="14" t="s">
        <v>31</v>
      </c>
      <c r="B226" s="15">
        <v>11890</v>
      </c>
      <c r="C226" s="16" t="s">
        <v>688</v>
      </c>
      <c r="D226" s="14" t="s">
        <v>1665</v>
      </c>
      <c r="E226" s="17" t="s">
        <v>1293</v>
      </c>
      <c r="F226" s="18" t="s">
        <v>689</v>
      </c>
      <c r="G226" s="18"/>
      <c r="H226" s="18" t="s">
        <v>547</v>
      </c>
      <c r="I226" s="14" t="s">
        <v>1294</v>
      </c>
      <c r="J226" s="18"/>
      <c r="K226" s="18"/>
      <c r="M226" s="20" t="str">
        <f t="shared" si="3"/>
        <v>Oenanthe oenanthe</v>
      </c>
    </row>
    <row r="227" spans="1:13" ht="15.75" customHeight="1" x14ac:dyDescent="0.2">
      <c r="A227" s="14" t="s">
        <v>31</v>
      </c>
      <c r="B227" s="15">
        <v>11911</v>
      </c>
      <c r="C227" s="16" t="s">
        <v>370</v>
      </c>
      <c r="D227" s="14" t="s">
        <v>1666</v>
      </c>
      <c r="E227" s="17" t="s">
        <v>1293</v>
      </c>
      <c r="F227" s="18" t="s">
        <v>642</v>
      </c>
      <c r="G227" s="18"/>
      <c r="H227" s="18" t="s">
        <v>547</v>
      </c>
      <c r="I227" s="14" t="s">
        <v>1294</v>
      </c>
      <c r="J227" s="18"/>
      <c r="K227" s="18"/>
      <c r="M227" s="20" t="str">
        <f t="shared" si="3"/>
        <v>Oriolus oriolus</v>
      </c>
    </row>
    <row r="228" spans="1:13" ht="15" customHeight="1" x14ac:dyDescent="0.2">
      <c r="A228" s="14" t="s">
        <v>31</v>
      </c>
      <c r="B228" s="15">
        <v>12292</v>
      </c>
      <c r="C228" s="16" t="s">
        <v>827</v>
      </c>
      <c r="D228" s="14" t="s">
        <v>1667</v>
      </c>
      <c r="E228" s="17" t="s">
        <v>1293</v>
      </c>
      <c r="F228" s="18" t="s">
        <v>828</v>
      </c>
      <c r="G228" s="18"/>
      <c r="H228" s="18" t="s">
        <v>547</v>
      </c>
      <c r="I228" s="14" t="s">
        <v>1294</v>
      </c>
      <c r="J228" s="18"/>
      <c r="K228" s="18"/>
      <c r="M228" s="20" t="str">
        <f t="shared" si="3"/>
        <v>Otis tarda</v>
      </c>
    </row>
    <row r="229" spans="1:13" ht="15" customHeight="1" x14ac:dyDescent="0.2">
      <c r="A229" s="14" t="s">
        <v>31</v>
      </c>
      <c r="B229" s="15">
        <v>12175</v>
      </c>
      <c r="C229" s="16" t="s">
        <v>171</v>
      </c>
      <c r="D229" s="14" t="s">
        <v>1668</v>
      </c>
      <c r="E229" s="17" t="s">
        <v>1293</v>
      </c>
      <c r="F229" s="18" t="s">
        <v>586</v>
      </c>
      <c r="G229" s="18"/>
      <c r="H229" s="18" t="s">
        <v>547</v>
      </c>
      <c r="I229" s="14" t="s">
        <v>1294</v>
      </c>
      <c r="J229" s="18"/>
      <c r="K229" s="18"/>
      <c r="M229" s="20" t="str">
        <f t="shared" si="3"/>
        <v>Otus scops</v>
      </c>
    </row>
    <row r="230" spans="1:13" ht="15" customHeight="1" x14ac:dyDescent="0.2">
      <c r="A230" s="14" t="s">
        <v>31</v>
      </c>
      <c r="B230" s="15">
        <v>11589</v>
      </c>
      <c r="C230" s="16" t="s">
        <v>778</v>
      </c>
      <c r="D230" s="14" t="s">
        <v>1669</v>
      </c>
      <c r="E230" s="17" t="s">
        <v>1293</v>
      </c>
      <c r="F230" s="18" t="s">
        <v>779</v>
      </c>
      <c r="G230" s="18"/>
      <c r="H230" s="18" t="s">
        <v>1300</v>
      </c>
      <c r="I230" s="14" t="s">
        <v>1294</v>
      </c>
      <c r="J230" s="18"/>
      <c r="K230" s="18"/>
      <c r="M230" s="20" t="str">
        <f t="shared" si="3"/>
        <v>Oxyura leucocephala</v>
      </c>
    </row>
    <row r="231" spans="1:13" ht="15" customHeight="1" x14ac:dyDescent="0.2">
      <c r="A231" s="14" t="s">
        <v>31</v>
      </c>
      <c r="B231" s="15">
        <v>11421</v>
      </c>
      <c r="C231" s="16" t="s">
        <v>784</v>
      </c>
      <c r="D231" s="14" t="s">
        <v>1670</v>
      </c>
      <c r="E231" s="17" t="s">
        <v>1293</v>
      </c>
      <c r="F231" s="18" t="s">
        <v>785</v>
      </c>
      <c r="G231" s="18"/>
      <c r="H231" s="18" t="s">
        <v>562</v>
      </c>
      <c r="I231" s="14" t="s">
        <v>1294</v>
      </c>
      <c r="J231" s="18"/>
      <c r="K231" s="18"/>
      <c r="M231" s="20" t="str">
        <f t="shared" si="3"/>
        <v>Pandion haliaetus</v>
      </c>
    </row>
    <row r="232" spans="1:13" ht="15" customHeight="1" x14ac:dyDescent="0.2">
      <c r="A232" s="14" t="s">
        <v>31</v>
      </c>
      <c r="B232" s="15">
        <v>10839</v>
      </c>
      <c r="C232" s="16" t="s">
        <v>1671</v>
      </c>
      <c r="D232" s="14" t="s">
        <v>1672</v>
      </c>
      <c r="E232" s="17" t="s">
        <v>1293</v>
      </c>
      <c r="F232" s="18" t="s">
        <v>1673</v>
      </c>
      <c r="G232" s="18"/>
      <c r="H232" s="18" t="s">
        <v>547</v>
      </c>
      <c r="I232" s="14" t="s">
        <v>1294</v>
      </c>
      <c r="J232" s="18"/>
      <c r="K232" s="18"/>
      <c r="M232" s="20" t="str">
        <f t="shared" si="3"/>
        <v>Panurus biarmicus</v>
      </c>
    </row>
    <row r="233" spans="1:13" ht="15" customHeight="1" x14ac:dyDescent="0.2">
      <c r="A233" s="14" t="s">
        <v>31</v>
      </c>
      <c r="B233" s="15">
        <v>11650</v>
      </c>
      <c r="C233" s="16" t="s">
        <v>290</v>
      </c>
      <c r="D233" s="14" t="s">
        <v>1674</v>
      </c>
      <c r="E233" s="17" t="s">
        <v>1293</v>
      </c>
      <c r="F233" s="18" t="s">
        <v>619</v>
      </c>
      <c r="G233" s="18"/>
      <c r="H233" s="18" t="s">
        <v>547</v>
      </c>
      <c r="I233" s="14" t="s">
        <v>1294</v>
      </c>
      <c r="J233" s="18"/>
      <c r="K233" s="18"/>
      <c r="M233" s="20" t="str">
        <f t="shared" si="3"/>
        <v>Parus major</v>
      </c>
    </row>
    <row r="234" spans="1:13" ht="15" customHeight="1" x14ac:dyDescent="0.2">
      <c r="A234" s="14" t="s">
        <v>31</v>
      </c>
      <c r="B234" s="15">
        <v>14021</v>
      </c>
      <c r="C234" s="16" t="s">
        <v>1675</v>
      </c>
      <c r="D234" s="14" t="s">
        <v>1676</v>
      </c>
      <c r="E234" s="17" t="s">
        <v>1293</v>
      </c>
      <c r="F234" s="18" t="s">
        <v>1677</v>
      </c>
      <c r="G234" s="18"/>
      <c r="H234" s="18" t="s">
        <v>562</v>
      </c>
      <c r="I234" s="14" t="s">
        <v>1294</v>
      </c>
      <c r="J234" s="18"/>
      <c r="K234" s="18"/>
      <c r="M234" s="20" t="str">
        <f t="shared" si="3"/>
        <v>Pelagodroma marina</v>
      </c>
    </row>
    <row r="235" spans="1:13" ht="15" customHeight="1" x14ac:dyDescent="0.2">
      <c r="A235" s="41" t="s">
        <v>31</v>
      </c>
      <c r="B235" s="42">
        <v>24333</v>
      </c>
      <c r="C235" s="43" t="s">
        <v>1678</v>
      </c>
      <c r="D235" s="44" t="s">
        <v>1679</v>
      </c>
      <c r="E235" s="17" t="s">
        <v>1318</v>
      </c>
      <c r="F235" s="45" t="s">
        <v>1680</v>
      </c>
      <c r="G235" s="45" t="s">
        <v>1681</v>
      </c>
      <c r="H235" s="45" t="s">
        <v>1300</v>
      </c>
      <c r="I235" s="41" t="s">
        <v>1682</v>
      </c>
      <c r="J235" s="46"/>
      <c r="K235" s="47"/>
      <c r="M235" s="20" t="str">
        <f t="shared" si="3"/>
        <v>Perdix perdix hispaniensis</v>
      </c>
    </row>
    <row r="236" spans="1:13" ht="15" customHeight="1" x14ac:dyDescent="0.2">
      <c r="A236" s="14" t="s">
        <v>31</v>
      </c>
      <c r="B236" s="15">
        <v>16422</v>
      </c>
      <c r="C236" s="16" t="s">
        <v>1683</v>
      </c>
      <c r="D236" s="14" t="s">
        <v>1684</v>
      </c>
      <c r="E236" s="17" t="s">
        <v>1293</v>
      </c>
      <c r="F236" s="18" t="s">
        <v>1003</v>
      </c>
      <c r="G236" s="18"/>
      <c r="H236" s="18" t="s">
        <v>547</v>
      </c>
      <c r="I236" s="14" t="s">
        <v>1294</v>
      </c>
      <c r="J236" s="18"/>
      <c r="K236" s="18"/>
      <c r="M236" s="20" t="str">
        <f t="shared" si="3"/>
        <v>Periparus ater</v>
      </c>
    </row>
    <row r="237" spans="1:13" ht="15" customHeight="1" x14ac:dyDescent="0.2">
      <c r="A237" s="14" t="s">
        <v>31</v>
      </c>
      <c r="B237" s="15">
        <v>10739</v>
      </c>
      <c r="C237" s="16" t="s">
        <v>803</v>
      </c>
      <c r="D237" s="14" t="s">
        <v>1685</v>
      </c>
      <c r="E237" s="17" t="s">
        <v>1293</v>
      </c>
      <c r="F237" s="18" t="s">
        <v>804</v>
      </c>
      <c r="G237" s="18"/>
      <c r="H237" s="18" t="s">
        <v>547</v>
      </c>
      <c r="I237" s="14" t="s">
        <v>1294</v>
      </c>
      <c r="J237" s="18"/>
      <c r="K237" s="18"/>
      <c r="M237" s="20" t="str">
        <f t="shared" si="3"/>
        <v>Pernis apivorus</v>
      </c>
    </row>
    <row r="238" spans="1:13" ht="15" customHeight="1" x14ac:dyDescent="0.2">
      <c r="A238" s="14" t="s">
        <v>31</v>
      </c>
      <c r="B238" s="15">
        <v>11973</v>
      </c>
      <c r="C238" s="16" t="s">
        <v>677</v>
      </c>
      <c r="D238" s="14" t="s">
        <v>1686</v>
      </c>
      <c r="E238" s="17" t="s">
        <v>1293</v>
      </c>
      <c r="F238" s="18" t="s">
        <v>678</v>
      </c>
      <c r="G238" s="18"/>
      <c r="H238" s="18" t="s">
        <v>547</v>
      </c>
      <c r="I238" s="14" t="s">
        <v>1294</v>
      </c>
      <c r="J238" s="18"/>
      <c r="K238" s="18"/>
      <c r="M238" s="20" t="str">
        <f t="shared" si="3"/>
        <v>Petronia petronia</v>
      </c>
    </row>
    <row r="239" spans="1:13" ht="15" customHeight="1" x14ac:dyDescent="0.2">
      <c r="A239" s="41" t="s">
        <v>31</v>
      </c>
      <c r="B239" s="42">
        <v>79207</v>
      </c>
      <c r="C239" s="43" t="s">
        <v>1687</v>
      </c>
      <c r="D239" s="42" t="s">
        <v>1688</v>
      </c>
      <c r="E239" s="17" t="s">
        <v>1318</v>
      </c>
      <c r="F239" s="45" t="s">
        <v>1689</v>
      </c>
      <c r="G239" s="45"/>
      <c r="H239" s="18" t="s">
        <v>547</v>
      </c>
      <c r="I239" s="41" t="s">
        <v>1682</v>
      </c>
      <c r="J239" s="46"/>
      <c r="K239" s="46"/>
      <c r="M239" s="20" t="str">
        <f t="shared" si="3"/>
        <v>Phaethon aethereus mesonauta</v>
      </c>
    </row>
    <row r="240" spans="1:13" ht="15" customHeight="1" x14ac:dyDescent="0.2">
      <c r="A240" s="14" t="s">
        <v>31</v>
      </c>
      <c r="B240" s="48">
        <v>80933</v>
      </c>
      <c r="C240" s="16" t="s">
        <v>1690</v>
      </c>
      <c r="D240" s="34" t="s">
        <v>1691</v>
      </c>
      <c r="E240" s="17" t="s">
        <v>1293</v>
      </c>
      <c r="F240" s="18" t="s">
        <v>742</v>
      </c>
      <c r="G240" s="18"/>
      <c r="H240" s="18" t="s">
        <v>562</v>
      </c>
      <c r="I240" s="14" t="s">
        <v>1294</v>
      </c>
      <c r="J240" s="18"/>
      <c r="K240" s="18"/>
      <c r="M240" s="20" t="str">
        <f t="shared" si="3"/>
        <v>Phalacrocorax aristotelis</v>
      </c>
    </row>
    <row r="241" spans="1:13" ht="15" customHeight="1" x14ac:dyDescent="0.2">
      <c r="A241" s="14" t="s">
        <v>31</v>
      </c>
      <c r="B241" s="15">
        <v>14040</v>
      </c>
      <c r="C241" s="16" t="s">
        <v>871</v>
      </c>
      <c r="D241" s="14" t="s">
        <v>1692</v>
      </c>
      <c r="E241" s="17" t="s">
        <v>1293</v>
      </c>
      <c r="F241" s="18" t="s">
        <v>872</v>
      </c>
      <c r="G241" s="18"/>
      <c r="H241" s="18" t="s">
        <v>547</v>
      </c>
      <c r="I241" s="14" t="s">
        <v>1294</v>
      </c>
      <c r="J241" s="18"/>
      <c r="K241" s="18"/>
      <c r="M241" s="20" t="str">
        <f t="shared" si="3"/>
        <v>Phalaropus fulicarius</v>
      </c>
    </row>
    <row r="242" spans="1:13" ht="15" customHeight="1" x14ac:dyDescent="0.2">
      <c r="A242" s="14" t="s">
        <v>31</v>
      </c>
      <c r="B242" s="15">
        <v>14039</v>
      </c>
      <c r="C242" s="16" t="s">
        <v>873</v>
      </c>
      <c r="D242" s="14" t="s">
        <v>1693</v>
      </c>
      <c r="E242" s="17" t="s">
        <v>1293</v>
      </c>
      <c r="F242" s="18" t="s">
        <v>874</v>
      </c>
      <c r="G242" s="18"/>
      <c r="H242" s="18" t="s">
        <v>547</v>
      </c>
      <c r="I242" s="14" t="s">
        <v>1294</v>
      </c>
      <c r="J242" s="18"/>
      <c r="K242" s="18"/>
      <c r="M242" s="20" t="str">
        <f t="shared" si="3"/>
        <v>Phalaropus lobatus</v>
      </c>
    </row>
    <row r="243" spans="1:13" ht="15" customHeight="1" x14ac:dyDescent="0.2">
      <c r="A243" s="14" t="s">
        <v>31</v>
      </c>
      <c r="B243" s="15">
        <v>33046</v>
      </c>
      <c r="C243" s="16" t="s">
        <v>875</v>
      </c>
      <c r="D243" s="15" t="s">
        <v>1694</v>
      </c>
      <c r="E243" s="17" t="s">
        <v>1293</v>
      </c>
      <c r="F243" s="18" t="s">
        <v>876</v>
      </c>
      <c r="G243" s="18"/>
      <c r="H243" s="18" t="s">
        <v>547</v>
      </c>
      <c r="I243" s="14" t="s">
        <v>1294</v>
      </c>
      <c r="J243" s="18"/>
      <c r="K243" s="18"/>
      <c r="M243" s="20" t="str">
        <f t="shared" si="3"/>
        <v>Philomachus pugnax</v>
      </c>
    </row>
    <row r="244" spans="1:13" ht="15" customHeight="1" x14ac:dyDescent="0.2">
      <c r="A244" s="14" t="s">
        <v>31</v>
      </c>
      <c r="B244" s="15">
        <v>12107</v>
      </c>
      <c r="C244" s="16" t="s">
        <v>767</v>
      </c>
      <c r="D244" s="14" t="s">
        <v>1695</v>
      </c>
      <c r="E244" s="17" t="s">
        <v>1293</v>
      </c>
      <c r="F244" s="18" t="s">
        <v>768</v>
      </c>
      <c r="G244" s="18"/>
      <c r="H244" s="18" t="s">
        <v>547</v>
      </c>
      <c r="I244" s="14" t="s">
        <v>1294</v>
      </c>
      <c r="J244" s="18"/>
      <c r="K244" s="18"/>
      <c r="M244" s="20" t="str">
        <f t="shared" si="3"/>
        <v>Phoenicopterus (ruber) roseus</v>
      </c>
    </row>
    <row r="245" spans="1:13" ht="15" customHeight="1" x14ac:dyDescent="0.2">
      <c r="A245" s="14" t="s">
        <v>31</v>
      </c>
      <c r="B245" s="15">
        <v>11886</v>
      </c>
      <c r="C245" s="16" t="s">
        <v>577</v>
      </c>
      <c r="D245" s="14" t="s">
        <v>1696</v>
      </c>
      <c r="E245" s="17" t="s">
        <v>1293</v>
      </c>
      <c r="F245" s="18" t="s">
        <v>578</v>
      </c>
      <c r="G245" s="18"/>
      <c r="H245" s="18" t="s">
        <v>547</v>
      </c>
      <c r="I245" s="14" t="s">
        <v>1294</v>
      </c>
      <c r="J245" s="18"/>
      <c r="K245" s="18"/>
      <c r="M245" s="20" t="str">
        <f t="shared" si="3"/>
        <v>Phoenicurus ochruros</v>
      </c>
    </row>
    <row r="246" spans="1:13" ht="15" customHeight="1" x14ac:dyDescent="0.2">
      <c r="A246" s="14" t="s">
        <v>31</v>
      </c>
      <c r="B246" s="15">
        <v>11977</v>
      </c>
      <c r="C246" s="16" t="s">
        <v>1697</v>
      </c>
      <c r="D246" s="14" t="s">
        <v>1698</v>
      </c>
      <c r="E246" s="17" t="s">
        <v>1293</v>
      </c>
      <c r="F246" s="18" t="s">
        <v>966</v>
      </c>
      <c r="G246" s="18"/>
      <c r="H246" s="18" t="s">
        <v>562</v>
      </c>
      <c r="I246" s="14" t="s">
        <v>1294</v>
      </c>
      <c r="J246" s="18"/>
      <c r="K246" s="18"/>
      <c r="M246" s="20" t="str">
        <f t="shared" si="3"/>
        <v>Phoenicurus phoenicurus</v>
      </c>
    </row>
    <row r="247" spans="1:13" ht="15" customHeight="1" x14ac:dyDescent="0.2">
      <c r="A247" s="14" t="s">
        <v>31</v>
      </c>
      <c r="B247" s="15">
        <v>10724</v>
      </c>
      <c r="C247" s="16" t="s">
        <v>599</v>
      </c>
      <c r="D247" s="14" t="s">
        <v>1699</v>
      </c>
      <c r="E247" s="17" t="s">
        <v>1293</v>
      </c>
      <c r="F247" s="18" t="s">
        <v>600</v>
      </c>
      <c r="G247" s="18"/>
      <c r="H247" s="18" t="s">
        <v>547</v>
      </c>
      <c r="I247" s="14" t="s">
        <v>1294</v>
      </c>
      <c r="J247" s="18"/>
      <c r="K247" s="18"/>
      <c r="M247" s="20" t="str">
        <f t="shared" si="3"/>
        <v>Phylloscopus bonelli</v>
      </c>
    </row>
    <row r="248" spans="1:13" ht="15" customHeight="1" x14ac:dyDescent="0.2">
      <c r="A248" s="14" t="s">
        <v>31</v>
      </c>
      <c r="B248" s="15">
        <v>10949</v>
      </c>
      <c r="C248" s="16" t="s">
        <v>1700</v>
      </c>
      <c r="D248" s="14" t="s">
        <v>1701</v>
      </c>
      <c r="E248" s="17" t="s">
        <v>1293</v>
      </c>
      <c r="F248" s="18" t="s">
        <v>1702</v>
      </c>
      <c r="G248" s="18"/>
      <c r="H248" s="18" t="s">
        <v>547</v>
      </c>
      <c r="I248" s="14" t="s">
        <v>1294</v>
      </c>
      <c r="J248" s="18"/>
      <c r="K248" s="18"/>
      <c r="M248" s="20" t="str">
        <f t="shared" si="3"/>
        <v>Phylloscopus canariensis</v>
      </c>
    </row>
    <row r="249" spans="1:13" ht="15" customHeight="1" x14ac:dyDescent="0.2">
      <c r="A249" s="14" t="s">
        <v>31</v>
      </c>
      <c r="B249" s="15">
        <v>11056</v>
      </c>
      <c r="C249" s="16" t="s">
        <v>986</v>
      </c>
      <c r="D249" s="14" t="s">
        <v>1703</v>
      </c>
      <c r="E249" s="17" t="s">
        <v>1293</v>
      </c>
      <c r="F249" s="18" t="s">
        <v>987</v>
      </c>
      <c r="G249" s="18"/>
      <c r="H249" s="18" t="s">
        <v>547</v>
      </c>
      <c r="I249" s="14" t="s">
        <v>1294</v>
      </c>
      <c r="J249" s="18"/>
      <c r="K249" s="18"/>
      <c r="M249" s="20" t="str">
        <f t="shared" si="3"/>
        <v>Phylloscopus collybita</v>
      </c>
    </row>
    <row r="250" spans="1:13" ht="15" customHeight="1" x14ac:dyDescent="0.2">
      <c r="A250" s="14" t="s">
        <v>31</v>
      </c>
      <c r="B250" s="15">
        <v>11489</v>
      </c>
      <c r="C250" s="16" t="s">
        <v>664</v>
      </c>
      <c r="D250" s="14" t="s">
        <v>1704</v>
      </c>
      <c r="E250" s="17" t="s">
        <v>1293</v>
      </c>
      <c r="F250" s="18" t="s">
        <v>665</v>
      </c>
      <c r="G250" s="18"/>
      <c r="H250" s="18" t="s">
        <v>547</v>
      </c>
      <c r="I250" s="14" t="s">
        <v>1294</v>
      </c>
      <c r="J250" s="18"/>
      <c r="K250" s="18"/>
      <c r="M250" s="20" t="str">
        <f t="shared" si="3"/>
        <v>Phylloscopus ibericus</v>
      </c>
    </row>
    <row r="251" spans="1:13" ht="15" customHeight="1" x14ac:dyDescent="0.2">
      <c r="A251" s="14" t="s">
        <v>31</v>
      </c>
      <c r="B251" s="15">
        <v>12206</v>
      </c>
      <c r="C251" s="16" t="s">
        <v>988</v>
      </c>
      <c r="D251" s="14" t="s">
        <v>1705</v>
      </c>
      <c r="E251" s="17" t="s">
        <v>1293</v>
      </c>
      <c r="F251" s="18" t="s">
        <v>989</v>
      </c>
      <c r="G251" s="18"/>
      <c r="H251" s="18" t="s">
        <v>547</v>
      </c>
      <c r="I251" s="14" t="s">
        <v>1294</v>
      </c>
      <c r="J251" s="18"/>
      <c r="K251" s="18"/>
      <c r="M251" s="20" t="str">
        <f t="shared" si="3"/>
        <v>Phylloscopus sibilatrix</v>
      </c>
    </row>
    <row r="252" spans="1:13" ht="15" customHeight="1" x14ac:dyDescent="0.2">
      <c r="A252" s="14" t="s">
        <v>31</v>
      </c>
      <c r="B252" s="15">
        <v>12337</v>
      </c>
      <c r="C252" s="16" t="s">
        <v>990</v>
      </c>
      <c r="D252" s="14" t="s">
        <v>1706</v>
      </c>
      <c r="E252" s="17" t="s">
        <v>1293</v>
      </c>
      <c r="F252" s="18" t="s">
        <v>991</v>
      </c>
      <c r="G252" s="18"/>
      <c r="H252" s="18" t="s">
        <v>547</v>
      </c>
      <c r="I252" s="14" t="s">
        <v>1294</v>
      </c>
      <c r="J252" s="18"/>
      <c r="K252" s="18"/>
      <c r="M252" s="20" t="str">
        <f t="shared" si="3"/>
        <v>Phylloscopus trochilus</v>
      </c>
    </row>
    <row r="253" spans="1:13" ht="15" customHeight="1" x14ac:dyDescent="0.2">
      <c r="A253" s="14" t="s">
        <v>31</v>
      </c>
      <c r="B253" s="15">
        <v>33014</v>
      </c>
      <c r="C253" s="16" t="s">
        <v>427</v>
      </c>
      <c r="D253" s="15" t="s">
        <v>1707</v>
      </c>
      <c r="E253" s="17" t="s">
        <v>1293</v>
      </c>
      <c r="F253" s="18" t="s">
        <v>657</v>
      </c>
      <c r="G253" s="18"/>
      <c r="H253" s="18" t="s">
        <v>547</v>
      </c>
      <c r="I253" s="14" t="s">
        <v>1294</v>
      </c>
      <c r="J253" s="18"/>
      <c r="K253" s="18"/>
      <c r="M253" s="20" t="str">
        <f t="shared" si="3"/>
        <v>Picus viridis</v>
      </c>
    </row>
    <row r="254" spans="1:13" ht="15" customHeight="1" x14ac:dyDescent="0.2">
      <c r="A254" s="14" t="s">
        <v>31</v>
      </c>
      <c r="B254" s="15">
        <v>11590</v>
      </c>
      <c r="C254" s="16" t="s">
        <v>763</v>
      </c>
      <c r="D254" s="14" t="s">
        <v>1708</v>
      </c>
      <c r="E254" s="17" t="s">
        <v>1293</v>
      </c>
      <c r="F254" s="18" t="s">
        <v>764</v>
      </c>
      <c r="G254" s="18"/>
      <c r="H254" s="18" t="s">
        <v>547</v>
      </c>
      <c r="I254" s="14" t="s">
        <v>1294</v>
      </c>
      <c r="J254" s="18"/>
      <c r="K254" s="18"/>
      <c r="M254" s="20" t="str">
        <f t="shared" si="3"/>
        <v>Platalea leucorodia</v>
      </c>
    </row>
    <row r="255" spans="1:13" ht="15" customHeight="1" x14ac:dyDescent="0.2">
      <c r="A255" s="14" t="s">
        <v>31</v>
      </c>
      <c r="B255" s="15">
        <v>16443</v>
      </c>
      <c r="C255" s="16" t="s">
        <v>1709</v>
      </c>
      <c r="D255" s="14" t="s">
        <v>1710</v>
      </c>
      <c r="E255" s="17" t="s">
        <v>1293</v>
      </c>
      <c r="F255" s="18" t="s">
        <v>1711</v>
      </c>
      <c r="G255" s="18"/>
      <c r="H255" s="18" t="s">
        <v>547</v>
      </c>
      <c r="I255" s="14" t="s">
        <v>1294</v>
      </c>
      <c r="J255" s="18"/>
      <c r="K255" s="18"/>
      <c r="M255" s="20" t="str">
        <f t="shared" si="3"/>
        <v>Plectrophenax nivalis</v>
      </c>
    </row>
    <row r="256" spans="1:13" ht="15" customHeight="1" x14ac:dyDescent="0.2">
      <c r="A256" s="14" t="s">
        <v>31</v>
      </c>
      <c r="B256" s="15">
        <v>11247</v>
      </c>
      <c r="C256" s="16" t="s">
        <v>765</v>
      </c>
      <c r="D256" s="14" t="s">
        <v>1712</v>
      </c>
      <c r="E256" s="17" t="s">
        <v>1293</v>
      </c>
      <c r="F256" s="18" t="s">
        <v>766</v>
      </c>
      <c r="G256" s="18"/>
      <c r="H256" s="18" t="s">
        <v>547</v>
      </c>
      <c r="I256" s="14" t="s">
        <v>1294</v>
      </c>
      <c r="J256" s="18"/>
      <c r="K256" s="18"/>
      <c r="M256" s="20" t="str">
        <f t="shared" si="3"/>
        <v>Plegadis falcinellus</v>
      </c>
    </row>
    <row r="257" spans="1:13" ht="15" customHeight="1" x14ac:dyDescent="0.2">
      <c r="A257" s="14" t="s">
        <v>31</v>
      </c>
      <c r="B257" s="15">
        <v>10741</v>
      </c>
      <c r="C257" s="16" t="s">
        <v>844</v>
      </c>
      <c r="D257" s="14" t="s">
        <v>1713</v>
      </c>
      <c r="E257" s="17" t="s">
        <v>1293</v>
      </c>
      <c r="F257" s="18" t="s">
        <v>845</v>
      </c>
      <c r="G257" s="18"/>
      <c r="H257" s="18" t="s">
        <v>547</v>
      </c>
      <c r="I257" s="14" t="s">
        <v>1294</v>
      </c>
      <c r="J257" s="18"/>
      <c r="K257" s="18"/>
      <c r="M257" s="20" t="str">
        <f t="shared" si="3"/>
        <v>Pluvialis apricaria</v>
      </c>
    </row>
    <row r="258" spans="1:13" ht="15" customHeight="1" x14ac:dyDescent="0.2">
      <c r="A258" s="14" t="s">
        <v>31</v>
      </c>
      <c r="B258" s="15">
        <v>12240</v>
      </c>
      <c r="C258" s="16" t="s">
        <v>1714</v>
      </c>
      <c r="D258" s="14" t="s">
        <v>1715</v>
      </c>
      <c r="E258" s="17" t="s">
        <v>1293</v>
      </c>
      <c r="F258" s="18" t="s">
        <v>846</v>
      </c>
      <c r="G258" s="18"/>
      <c r="H258" s="18" t="s">
        <v>547</v>
      </c>
      <c r="I258" s="14" t="s">
        <v>1294</v>
      </c>
      <c r="J258" s="18"/>
      <c r="K258" s="18"/>
      <c r="M258" s="20" t="str">
        <f t="shared" si="3"/>
        <v>Pluvialis squatarola</v>
      </c>
    </row>
    <row r="259" spans="1:13" ht="15" customHeight="1" x14ac:dyDescent="0.2">
      <c r="A259" s="14" t="s">
        <v>31</v>
      </c>
      <c r="B259" s="15">
        <v>14003</v>
      </c>
      <c r="C259" s="16" t="s">
        <v>1716</v>
      </c>
      <c r="D259" s="14" t="s">
        <v>1717</v>
      </c>
      <c r="E259" s="17" t="s">
        <v>1293</v>
      </c>
      <c r="F259" s="18" t="s">
        <v>1718</v>
      </c>
      <c r="G259" s="18"/>
      <c r="H259" s="18" t="s">
        <v>547</v>
      </c>
      <c r="I259" s="14" t="s">
        <v>1294</v>
      </c>
      <c r="J259" s="18"/>
      <c r="K259" s="18"/>
      <c r="M259" s="20" t="str">
        <f t="shared" ref="M259:M322" si="4">TRIM(C259)</f>
        <v>Podiceps auritus</v>
      </c>
    </row>
    <row r="260" spans="1:13" ht="15" customHeight="1" x14ac:dyDescent="0.2">
      <c r="A260" s="14" t="s">
        <v>31</v>
      </c>
      <c r="B260" s="15">
        <v>14001</v>
      </c>
      <c r="C260" s="16" t="s">
        <v>724</v>
      </c>
      <c r="D260" s="14" t="s">
        <v>1719</v>
      </c>
      <c r="E260" s="17" t="s">
        <v>1293</v>
      </c>
      <c r="F260" s="18" t="s">
        <v>725</v>
      </c>
      <c r="G260" s="18"/>
      <c r="H260" s="18" t="s">
        <v>547</v>
      </c>
      <c r="I260" s="14" t="s">
        <v>1294</v>
      </c>
      <c r="J260" s="18"/>
      <c r="K260" s="18"/>
      <c r="M260" s="20" t="str">
        <f t="shared" si="4"/>
        <v>Podiceps cristatus</v>
      </c>
    </row>
    <row r="261" spans="1:13" ht="15" customHeight="1" x14ac:dyDescent="0.2">
      <c r="A261" s="14" t="s">
        <v>31</v>
      </c>
      <c r="B261" s="15">
        <v>14004</v>
      </c>
      <c r="C261" s="16" t="s">
        <v>726</v>
      </c>
      <c r="D261" s="14" t="s">
        <v>1720</v>
      </c>
      <c r="E261" s="17" t="s">
        <v>1293</v>
      </c>
      <c r="F261" s="18" t="s">
        <v>727</v>
      </c>
      <c r="G261" s="18"/>
      <c r="H261" s="18" t="s">
        <v>547</v>
      </c>
      <c r="I261" s="14" t="s">
        <v>1294</v>
      </c>
      <c r="J261" s="18"/>
      <c r="K261" s="18"/>
      <c r="M261" s="20" t="str">
        <f t="shared" si="4"/>
        <v>Podiceps nigricollis</v>
      </c>
    </row>
    <row r="262" spans="1:13" ht="15" customHeight="1" x14ac:dyDescent="0.2">
      <c r="A262" s="14" t="s">
        <v>31</v>
      </c>
      <c r="B262" s="15">
        <v>16420</v>
      </c>
      <c r="C262" s="16" t="s">
        <v>1721</v>
      </c>
      <c r="D262" s="14" t="s">
        <v>1722</v>
      </c>
      <c r="E262" s="17" t="s">
        <v>1293</v>
      </c>
      <c r="F262" s="18" t="s">
        <v>1723</v>
      </c>
      <c r="G262" s="18"/>
      <c r="H262" s="18" t="s">
        <v>547</v>
      </c>
      <c r="I262" s="14" t="s">
        <v>1294</v>
      </c>
      <c r="J262" s="18"/>
      <c r="K262" s="18"/>
      <c r="M262" s="20" t="str">
        <f t="shared" si="4"/>
        <v>Poecile palustris</v>
      </c>
    </row>
    <row r="263" spans="1:13" ht="15" customHeight="1" x14ac:dyDescent="0.2">
      <c r="A263" s="14" t="s">
        <v>31</v>
      </c>
      <c r="B263" s="15">
        <v>12013</v>
      </c>
      <c r="C263" s="16" t="s">
        <v>819</v>
      </c>
      <c r="D263" s="14" t="s">
        <v>1724</v>
      </c>
      <c r="E263" s="17" t="s">
        <v>1293</v>
      </c>
      <c r="F263" s="18" t="s">
        <v>820</v>
      </c>
      <c r="G263" s="18"/>
      <c r="H263" s="18" t="s">
        <v>547</v>
      </c>
      <c r="I263" s="14" t="s">
        <v>1294</v>
      </c>
      <c r="J263" s="18"/>
      <c r="K263" s="18"/>
      <c r="M263" s="20" t="str">
        <f t="shared" si="4"/>
        <v>Porphyrio porphyrio</v>
      </c>
    </row>
    <row r="264" spans="1:13" ht="15" customHeight="1" x14ac:dyDescent="0.2">
      <c r="A264" s="14" t="s">
        <v>31</v>
      </c>
      <c r="B264" s="15">
        <v>33069</v>
      </c>
      <c r="C264" s="16" t="s">
        <v>821</v>
      </c>
      <c r="D264" s="14" t="s">
        <v>1725</v>
      </c>
      <c r="E264" s="17" t="s">
        <v>1293</v>
      </c>
      <c r="F264" s="18" t="s">
        <v>822</v>
      </c>
      <c r="G264" s="18"/>
      <c r="H264" s="18" t="s">
        <v>547</v>
      </c>
      <c r="I264" s="14" t="s">
        <v>1294</v>
      </c>
      <c r="J264" s="18"/>
      <c r="K264" s="18"/>
      <c r="M264" s="20" t="str">
        <f t="shared" si="4"/>
        <v>Porzana parva</v>
      </c>
    </row>
    <row r="265" spans="1:13" ht="14.25" customHeight="1" x14ac:dyDescent="0.2">
      <c r="A265" s="14" t="s">
        <v>31</v>
      </c>
      <c r="B265" s="15">
        <v>12014</v>
      </c>
      <c r="C265" s="16" t="s">
        <v>823</v>
      </c>
      <c r="D265" s="14" t="s">
        <v>1726</v>
      </c>
      <c r="E265" s="17" t="s">
        <v>1293</v>
      </c>
      <c r="F265" s="18" t="s">
        <v>824</v>
      </c>
      <c r="G265" s="18"/>
      <c r="H265" s="18" t="s">
        <v>547</v>
      </c>
      <c r="I265" s="14" t="s">
        <v>1294</v>
      </c>
      <c r="J265" s="18"/>
      <c r="K265" s="18"/>
      <c r="M265" s="20" t="str">
        <f t="shared" si="4"/>
        <v>Porzana porzana</v>
      </c>
    </row>
    <row r="266" spans="1:13" ht="15" customHeight="1" x14ac:dyDescent="0.2">
      <c r="A266" s="14" t="s">
        <v>31</v>
      </c>
      <c r="B266" s="15">
        <v>33067</v>
      </c>
      <c r="C266" s="16" t="s">
        <v>825</v>
      </c>
      <c r="D266" s="14" t="s">
        <v>1727</v>
      </c>
      <c r="E266" s="17" t="s">
        <v>1293</v>
      </c>
      <c r="F266" s="18" t="s">
        <v>826</v>
      </c>
      <c r="G266" s="18"/>
      <c r="H266" s="18" t="s">
        <v>547</v>
      </c>
      <c r="I266" s="14" t="s">
        <v>1294</v>
      </c>
      <c r="J266" s="18"/>
      <c r="K266" s="18"/>
      <c r="M266" s="20" t="str">
        <f t="shared" si="4"/>
        <v>Porzana pusilla</v>
      </c>
    </row>
    <row r="267" spans="1:13" ht="15" customHeight="1" x14ac:dyDescent="0.2">
      <c r="A267" s="14" t="s">
        <v>31</v>
      </c>
      <c r="B267" s="15">
        <v>11054</v>
      </c>
      <c r="C267" s="16" t="s">
        <v>958</v>
      </c>
      <c r="D267" s="14" t="s">
        <v>1728</v>
      </c>
      <c r="E267" s="17" t="s">
        <v>1293</v>
      </c>
      <c r="F267" s="18" t="s">
        <v>959</v>
      </c>
      <c r="G267" s="18"/>
      <c r="H267" s="18" t="s">
        <v>547</v>
      </c>
      <c r="I267" s="14" t="s">
        <v>1294</v>
      </c>
      <c r="J267" s="18"/>
      <c r="K267" s="18"/>
      <c r="M267" s="20" t="str">
        <f t="shared" si="4"/>
        <v>Prunella collaris</v>
      </c>
    </row>
    <row r="268" spans="1:13" ht="15" customHeight="1" x14ac:dyDescent="0.2">
      <c r="A268" s="14" t="s">
        <v>31</v>
      </c>
      <c r="B268" s="15">
        <v>11761</v>
      </c>
      <c r="C268" s="16" t="s">
        <v>960</v>
      </c>
      <c r="D268" s="14" t="s">
        <v>1729</v>
      </c>
      <c r="E268" s="17" t="s">
        <v>1293</v>
      </c>
      <c r="F268" s="18" t="s">
        <v>961</v>
      </c>
      <c r="G268" s="18"/>
      <c r="H268" s="18" t="s">
        <v>547</v>
      </c>
      <c r="I268" s="14" t="s">
        <v>1294</v>
      </c>
      <c r="J268" s="18"/>
      <c r="K268" s="18"/>
      <c r="M268" s="20" t="str">
        <f t="shared" si="4"/>
        <v>Prunella modularis</v>
      </c>
    </row>
    <row r="269" spans="1:13" ht="15" customHeight="1" x14ac:dyDescent="0.2">
      <c r="A269" s="14" t="s">
        <v>31</v>
      </c>
      <c r="B269" s="15">
        <v>10662</v>
      </c>
      <c r="C269" s="16" t="s">
        <v>924</v>
      </c>
      <c r="D269" s="14" t="s">
        <v>1730</v>
      </c>
      <c r="E269" s="17" t="s">
        <v>1293</v>
      </c>
      <c r="F269" s="18" t="s">
        <v>925</v>
      </c>
      <c r="G269" s="18"/>
      <c r="H269" s="18" t="s">
        <v>562</v>
      </c>
      <c r="I269" s="14" t="s">
        <v>1294</v>
      </c>
      <c r="J269" s="18"/>
      <c r="K269" s="18"/>
      <c r="M269" s="20" t="str">
        <f t="shared" si="4"/>
        <v>Pterocles alchata</v>
      </c>
    </row>
    <row r="270" spans="1:13" ht="15" customHeight="1" x14ac:dyDescent="0.2">
      <c r="A270" s="14" t="s">
        <v>31</v>
      </c>
      <c r="B270" s="15">
        <v>11909</v>
      </c>
      <c r="C270" s="16" t="s">
        <v>926</v>
      </c>
      <c r="D270" s="14" t="s">
        <v>1731</v>
      </c>
      <c r="E270" s="17" t="s">
        <v>1293</v>
      </c>
      <c r="F270" s="18" t="s">
        <v>927</v>
      </c>
      <c r="G270" s="18"/>
      <c r="H270" s="18" t="s">
        <v>562</v>
      </c>
      <c r="I270" s="14" t="s">
        <v>1294</v>
      </c>
      <c r="J270" s="18"/>
      <c r="K270" s="18"/>
      <c r="M270" s="20" t="str">
        <f t="shared" si="4"/>
        <v>Pterocles orientalis</v>
      </c>
    </row>
    <row r="271" spans="1:13" ht="15" customHeight="1" x14ac:dyDescent="0.2">
      <c r="A271" s="14" t="s">
        <v>31</v>
      </c>
      <c r="B271" s="15">
        <v>12131</v>
      </c>
      <c r="C271" s="16" t="s">
        <v>569</v>
      </c>
      <c r="D271" s="14" t="s">
        <v>1732</v>
      </c>
      <c r="E271" s="17" t="s">
        <v>1293</v>
      </c>
      <c r="F271" s="18" t="s">
        <v>570</v>
      </c>
      <c r="G271" s="18"/>
      <c r="H271" s="18" t="s">
        <v>547</v>
      </c>
      <c r="I271" s="14" t="s">
        <v>1294</v>
      </c>
      <c r="J271" s="18"/>
      <c r="K271" s="18"/>
      <c r="M271" s="20" t="str">
        <f t="shared" si="4"/>
        <v>Ptyonoprogne rupestris</v>
      </c>
    </row>
    <row r="272" spans="1:13" ht="15" customHeight="1" x14ac:dyDescent="0.2">
      <c r="A272" s="14" t="s">
        <v>31</v>
      </c>
      <c r="B272" s="15">
        <v>14019</v>
      </c>
      <c r="C272" s="16" t="s">
        <v>1733</v>
      </c>
      <c r="D272" s="15" t="s">
        <v>1734</v>
      </c>
      <c r="E272" s="17" t="s">
        <v>1293</v>
      </c>
      <c r="F272" s="18" t="s">
        <v>1735</v>
      </c>
      <c r="G272" s="18"/>
      <c r="H272" s="18" t="s">
        <v>562</v>
      </c>
      <c r="I272" s="14" t="s">
        <v>1294</v>
      </c>
      <c r="J272" s="18"/>
      <c r="K272" s="18"/>
      <c r="M272" s="20" t="str">
        <f t="shared" si="4"/>
        <v>Puffinus assimilis</v>
      </c>
    </row>
    <row r="273" spans="1:13" ht="15" customHeight="1" x14ac:dyDescent="0.2">
      <c r="A273" s="14" t="s">
        <v>31</v>
      </c>
      <c r="B273" s="15">
        <v>11691</v>
      </c>
      <c r="C273" s="16" t="s">
        <v>734</v>
      </c>
      <c r="D273" s="14" t="s">
        <v>1736</v>
      </c>
      <c r="E273" s="17" t="s">
        <v>1293</v>
      </c>
      <c r="F273" s="18" t="s">
        <v>735</v>
      </c>
      <c r="G273" s="18"/>
      <c r="H273" s="18" t="s">
        <v>1300</v>
      </c>
      <c r="I273" s="14" t="s">
        <v>1294</v>
      </c>
      <c r="J273" s="18"/>
      <c r="K273" s="18"/>
      <c r="M273" s="20" t="str">
        <f t="shared" si="4"/>
        <v>Puffinus mauretanicus</v>
      </c>
    </row>
    <row r="274" spans="1:13" ht="15" customHeight="1" x14ac:dyDescent="0.2">
      <c r="A274" s="14" t="s">
        <v>31</v>
      </c>
      <c r="B274" s="15">
        <v>33031</v>
      </c>
      <c r="C274" s="16" t="s">
        <v>1737</v>
      </c>
      <c r="D274" s="30" t="s">
        <v>1738</v>
      </c>
      <c r="E274" s="17" t="s">
        <v>1293</v>
      </c>
      <c r="F274" s="18" t="s">
        <v>1739</v>
      </c>
      <c r="G274" s="18"/>
      <c r="H274" s="18" t="s">
        <v>547</v>
      </c>
      <c r="I274" s="14" t="s">
        <v>1294</v>
      </c>
      <c r="J274" s="18"/>
      <c r="K274" s="18"/>
      <c r="M274" s="20" t="str">
        <f t="shared" si="4"/>
        <v>Puffinus gravis</v>
      </c>
    </row>
    <row r="275" spans="1:13" ht="15" customHeight="1" x14ac:dyDescent="0.2">
      <c r="A275" s="14" t="s">
        <v>31</v>
      </c>
      <c r="B275" s="15">
        <v>33032</v>
      </c>
      <c r="C275" s="16" t="s">
        <v>732</v>
      </c>
      <c r="D275" s="15" t="s">
        <v>1740</v>
      </c>
      <c r="E275" s="17" t="s">
        <v>1293</v>
      </c>
      <c r="F275" s="18" t="s">
        <v>733</v>
      </c>
      <c r="G275" s="18"/>
      <c r="H275" s="18" t="s">
        <v>547</v>
      </c>
      <c r="I275" s="14" t="s">
        <v>1294</v>
      </c>
      <c r="J275" s="18"/>
      <c r="K275" s="18"/>
      <c r="M275" s="20" t="str">
        <f t="shared" si="4"/>
        <v>Puffinus griseus</v>
      </c>
    </row>
    <row r="276" spans="1:13" ht="15" customHeight="1" x14ac:dyDescent="0.2">
      <c r="A276" s="14" t="s">
        <v>31</v>
      </c>
      <c r="B276" s="15">
        <v>12029</v>
      </c>
      <c r="C276" s="16" t="s">
        <v>1741</v>
      </c>
      <c r="D276" s="14" t="s">
        <v>1742</v>
      </c>
      <c r="E276" s="17" t="s">
        <v>1293</v>
      </c>
      <c r="F276" s="18" t="s">
        <v>1743</v>
      </c>
      <c r="G276" s="18"/>
      <c r="H276" s="18" t="s">
        <v>562</v>
      </c>
      <c r="I276" s="14" t="s">
        <v>1294</v>
      </c>
      <c r="J276" s="18"/>
      <c r="K276" s="18"/>
      <c r="M276" s="20" t="str">
        <f t="shared" si="4"/>
        <v>Puffinus puffinus</v>
      </c>
    </row>
    <row r="277" spans="1:13" ht="15" customHeight="1" x14ac:dyDescent="0.2">
      <c r="A277" s="14" t="s">
        <v>31</v>
      </c>
      <c r="B277" s="15">
        <v>12433</v>
      </c>
      <c r="C277" s="16" t="s">
        <v>736</v>
      </c>
      <c r="D277" s="14" t="s">
        <v>1744</v>
      </c>
      <c r="E277" s="17" t="s">
        <v>1293</v>
      </c>
      <c r="F277" s="18" t="s">
        <v>737</v>
      </c>
      <c r="G277" s="18"/>
      <c r="H277" s="18" t="s">
        <v>547</v>
      </c>
      <c r="I277" s="14" t="s">
        <v>1294</v>
      </c>
      <c r="J277" s="18"/>
      <c r="K277" s="18"/>
      <c r="M277" s="20" t="str">
        <f t="shared" si="4"/>
        <v>Puffinus yelkouan</v>
      </c>
    </row>
    <row r="278" spans="1:13" ht="15" customHeight="1" x14ac:dyDescent="0.2">
      <c r="A278" s="14" t="s">
        <v>31</v>
      </c>
      <c r="B278" s="15">
        <v>11384</v>
      </c>
      <c r="C278" s="16" t="s">
        <v>1745</v>
      </c>
      <c r="D278" s="14" t="s">
        <v>1746</v>
      </c>
      <c r="E278" s="17" t="s">
        <v>1293</v>
      </c>
      <c r="F278" s="18" t="s">
        <v>1747</v>
      </c>
      <c r="G278" s="18"/>
      <c r="H278" s="18" t="s">
        <v>547</v>
      </c>
      <c r="I278" s="14" t="s">
        <v>1294</v>
      </c>
      <c r="J278" s="18"/>
      <c r="K278" s="18"/>
      <c r="M278" s="20" t="str">
        <f t="shared" si="4"/>
        <v>Pyrrhocorax graculus</v>
      </c>
    </row>
    <row r="279" spans="1:13" ht="16.5" customHeight="1" x14ac:dyDescent="0.2">
      <c r="A279" s="14" t="s">
        <v>31</v>
      </c>
      <c r="B279" s="15">
        <v>12065</v>
      </c>
      <c r="C279" s="16" t="s">
        <v>395</v>
      </c>
      <c r="D279" s="14" t="s">
        <v>1748</v>
      </c>
      <c r="E279" s="17" t="s">
        <v>1293</v>
      </c>
      <c r="F279" s="18" t="s">
        <v>646</v>
      </c>
      <c r="G279" s="18"/>
      <c r="H279" s="18" t="s">
        <v>547</v>
      </c>
      <c r="I279" s="14" t="s">
        <v>1294</v>
      </c>
      <c r="J279" s="18"/>
      <c r="K279" s="18"/>
      <c r="M279" s="20" t="str">
        <f t="shared" si="4"/>
        <v>Pyrrhocorax pyrrhocorax</v>
      </c>
    </row>
    <row r="280" spans="1:13" ht="14.25" customHeight="1" x14ac:dyDescent="0.2">
      <c r="A280" s="14" t="s">
        <v>31</v>
      </c>
      <c r="B280" s="15">
        <v>12067</v>
      </c>
      <c r="C280" s="16" t="s">
        <v>1749</v>
      </c>
      <c r="D280" s="15" t="s">
        <v>1750</v>
      </c>
      <c r="E280" s="17" t="s">
        <v>1293</v>
      </c>
      <c r="F280" s="18" t="s">
        <v>1017</v>
      </c>
      <c r="G280" s="18"/>
      <c r="H280" s="18" t="s">
        <v>547</v>
      </c>
      <c r="I280" s="14" t="s">
        <v>1294</v>
      </c>
      <c r="J280" s="18"/>
      <c r="K280" s="18"/>
      <c r="M280" s="20" t="str">
        <f t="shared" si="4"/>
        <v>Pyrrhula pyrrhula</v>
      </c>
    </row>
    <row r="281" spans="1:13" ht="15" customHeight="1" x14ac:dyDescent="0.2">
      <c r="A281" s="14" t="s">
        <v>31</v>
      </c>
      <c r="B281" s="15">
        <v>10801</v>
      </c>
      <c r="C281" s="16" t="s">
        <v>833</v>
      </c>
      <c r="D281" s="15" t="s">
        <v>1751</v>
      </c>
      <c r="E281" s="17" t="s">
        <v>1293</v>
      </c>
      <c r="F281" s="18" t="s">
        <v>834</v>
      </c>
      <c r="G281" s="18"/>
      <c r="H281" s="18" t="s">
        <v>547</v>
      </c>
      <c r="I281" s="14" t="s">
        <v>1294</v>
      </c>
      <c r="J281" s="18"/>
      <c r="K281" s="18"/>
      <c r="M281" s="20" t="str">
        <f t="shared" si="4"/>
        <v>Recurvirostra avosetta</v>
      </c>
    </row>
    <row r="282" spans="1:13" ht="15" customHeight="1" x14ac:dyDescent="0.2">
      <c r="A282" s="14" t="s">
        <v>31</v>
      </c>
      <c r="B282" s="15">
        <v>11499</v>
      </c>
      <c r="C282" s="16" t="s">
        <v>992</v>
      </c>
      <c r="D282" s="15" t="s">
        <v>1752</v>
      </c>
      <c r="E282" s="17" t="s">
        <v>1293</v>
      </c>
      <c r="F282" s="18" t="s">
        <v>618</v>
      </c>
      <c r="G282" s="18"/>
      <c r="H282" s="18" t="s">
        <v>547</v>
      </c>
      <c r="I282" s="14" t="s">
        <v>1294</v>
      </c>
      <c r="J282" s="18"/>
      <c r="K282" s="18"/>
      <c r="M282" s="20" t="str">
        <f t="shared" si="4"/>
        <v>Regulus ignicapillus</v>
      </c>
    </row>
    <row r="283" spans="1:13" ht="15" customHeight="1" x14ac:dyDescent="0.2">
      <c r="A283" s="14" t="s">
        <v>31</v>
      </c>
      <c r="B283" s="15">
        <v>12088</v>
      </c>
      <c r="C283" s="16" t="s">
        <v>993</v>
      </c>
      <c r="D283" s="15" t="s">
        <v>1753</v>
      </c>
      <c r="E283" s="17" t="s">
        <v>1293</v>
      </c>
      <c r="F283" s="18" t="s">
        <v>994</v>
      </c>
      <c r="G283" s="18"/>
      <c r="H283" s="18" t="s">
        <v>547</v>
      </c>
      <c r="I283" s="14" t="s">
        <v>1294</v>
      </c>
      <c r="J283" s="18"/>
      <c r="K283" s="18"/>
      <c r="M283" s="20" t="str">
        <f t="shared" si="4"/>
        <v>Regulus regulus</v>
      </c>
    </row>
    <row r="284" spans="1:13" ht="15" customHeight="1" x14ac:dyDescent="0.2">
      <c r="A284" s="14" t="s">
        <v>31</v>
      </c>
      <c r="B284" s="15">
        <v>11957</v>
      </c>
      <c r="C284" s="16" t="s">
        <v>32</v>
      </c>
      <c r="D284" s="15" t="s">
        <v>1754</v>
      </c>
      <c r="E284" s="17" t="s">
        <v>1293</v>
      </c>
      <c r="F284" s="18" t="s">
        <v>1008</v>
      </c>
      <c r="G284" s="18"/>
      <c r="H284" s="18" t="s">
        <v>547</v>
      </c>
      <c r="I284" s="14" t="s">
        <v>1294</v>
      </c>
      <c r="J284" s="18"/>
      <c r="K284" s="18"/>
      <c r="M284" s="20" t="str">
        <f t="shared" si="4"/>
        <v>Remiz pendulinus</v>
      </c>
    </row>
    <row r="285" spans="1:13" ht="15" customHeight="1" x14ac:dyDescent="0.2">
      <c r="A285" s="14" t="s">
        <v>31</v>
      </c>
      <c r="B285" s="15">
        <v>12097</v>
      </c>
      <c r="C285" s="16" t="s">
        <v>450</v>
      </c>
      <c r="D285" s="15" t="s">
        <v>1755</v>
      </c>
      <c r="E285" s="17" t="s">
        <v>1293</v>
      </c>
      <c r="F285" s="18" t="s">
        <v>947</v>
      </c>
      <c r="G285" s="18"/>
      <c r="H285" s="18" t="s">
        <v>547</v>
      </c>
      <c r="I285" s="14" t="s">
        <v>1294</v>
      </c>
      <c r="J285" s="18"/>
      <c r="K285" s="18"/>
      <c r="M285" s="20" t="str">
        <f t="shared" si="4"/>
        <v>Riparia riparia</v>
      </c>
    </row>
    <row r="286" spans="1:13" ht="15" customHeight="1" x14ac:dyDescent="0.2">
      <c r="A286" s="14" t="s">
        <v>31</v>
      </c>
      <c r="B286" s="15">
        <v>14069</v>
      </c>
      <c r="C286" s="16" t="s">
        <v>902</v>
      </c>
      <c r="D286" s="15" t="s">
        <v>1756</v>
      </c>
      <c r="E286" s="17" t="s">
        <v>1293</v>
      </c>
      <c r="F286" s="18" t="s">
        <v>903</v>
      </c>
      <c r="G286" s="18"/>
      <c r="H286" s="18" t="s">
        <v>547</v>
      </c>
      <c r="I286" s="14" t="s">
        <v>1294</v>
      </c>
      <c r="J286" s="18"/>
      <c r="K286" s="18"/>
      <c r="M286" s="20" t="str">
        <f t="shared" si="4"/>
        <v>Rissa tridactyla</v>
      </c>
    </row>
    <row r="287" spans="1:13" ht="15" customHeight="1" x14ac:dyDescent="0.2">
      <c r="A287" s="14" t="s">
        <v>31</v>
      </c>
      <c r="B287" s="15">
        <v>11125</v>
      </c>
      <c r="C287" s="16" t="s">
        <v>1757</v>
      </c>
      <c r="D287" s="15" t="s">
        <v>1758</v>
      </c>
      <c r="E287" s="17" t="s">
        <v>1293</v>
      </c>
      <c r="F287" s="18" t="s">
        <v>1759</v>
      </c>
      <c r="G287" s="18"/>
      <c r="H287" s="18" t="s">
        <v>562</v>
      </c>
      <c r="I287" s="14" t="s">
        <v>1294</v>
      </c>
      <c r="J287" s="18"/>
      <c r="K287" s="18"/>
      <c r="M287" s="20" t="str">
        <f t="shared" si="4"/>
        <v>Saxicola dacotiae</v>
      </c>
    </row>
    <row r="288" spans="1:13" ht="15" customHeight="1" x14ac:dyDescent="0.2">
      <c r="A288" s="14" t="s">
        <v>31</v>
      </c>
      <c r="B288" s="15">
        <v>12112</v>
      </c>
      <c r="C288" s="16" t="s">
        <v>967</v>
      </c>
      <c r="D288" s="15" t="s">
        <v>1760</v>
      </c>
      <c r="E288" s="17" t="s">
        <v>1293</v>
      </c>
      <c r="F288" s="18" t="s">
        <v>968</v>
      </c>
      <c r="G288" s="18"/>
      <c r="H288" s="18" t="s">
        <v>547</v>
      </c>
      <c r="I288" s="14" t="s">
        <v>1294</v>
      </c>
      <c r="J288" s="18"/>
      <c r="K288" s="18"/>
      <c r="M288" s="20" t="str">
        <f t="shared" si="4"/>
        <v>Saxicola rubetra</v>
      </c>
    </row>
    <row r="289" spans="1:13" ht="15" customHeight="1" x14ac:dyDescent="0.2">
      <c r="A289" s="15" t="s">
        <v>31</v>
      </c>
      <c r="B289" s="15">
        <v>16387</v>
      </c>
      <c r="C289" s="21" t="s">
        <v>969</v>
      </c>
      <c r="D289" s="30" t="s">
        <v>1761</v>
      </c>
      <c r="E289" s="17" t="s">
        <v>1293</v>
      </c>
      <c r="F289" s="24" t="s">
        <v>1762</v>
      </c>
      <c r="G289" s="24"/>
      <c r="H289" s="18" t="s">
        <v>547</v>
      </c>
      <c r="I289" s="15" t="s">
        <v>1294</v>
      </c>
      <c r="J289" s="24"/>
      <c r="K289" s="24"/>
      <c r="M289" s="20" t="str">
        <f t="shared" si="4"/>
        <v>Saxicola torquata</v>
      </c>
    </row>
    <row r="290" spans="1:13" ht="15" customHeight="1" x14ac:dyDescent="0.2">
      <c r="A290" s="14" t="s">
        <v>31</v>
      </c>
      <c r="B290" s="15">
        <v>16435</v>
      </c>
      <c r="C290" s="16" t="s">
        <v>1018</v>
      </c>
      <c r="D290" s="15" t="s">
        <v>1763</v>
      </c>
      <c r="E290" s="17" t="s">
        <v>1293</v>
      </c>
      <c r="F290" s="18" t="s">
        <v>1019</v>
      </c>
      <c r="G290" s="18"/>
      <c r="H290" s="18" t="s">
        <v>547</v>
      </c>
      <c r="I290" s="14" t="s">
        <v>1294</v>
      </c>
      <c r="J290" s="18"/>
      <c r="K290" s="18"/>
      <c r="M290" s="20" t="str">
        <f t="shared" si="4"/>
        <v>Serinus citrinella</v>
      </c>
    </row>
    <row r="291" spans="1:13" ht="15" customHeight="1" x14ac:dyDescent="0.2">
      <c r="A291" s="14" t="s">
        <v>31</v>
      </c>
      <c r="B291" s="15">
        <v>11226</v>
      </c>
      <c r="C291" s="16" t="s">
        <v>548</v>
      </c>
      <c r="D291" s="15" t="s">
        <v>1764</v>
      </c>
      <c r="E291" s="17" t="s">
        <v>1293</v>
      </c>
      <c r="F291" s="18" t="s">
        <v>549</v>
      </c>
      <c r="G291" s="18"/>
      <c r="H291" s="18" t="s">
        <v>547</v>
      </c>
      <c r="I291" s="14" t="s">
        <v>1294</v>
      </c>
      <c r="J291" s="18"/>
      <c r="K291" s="18"/>
      <c r="M291" s="20" t="str">
        <f t="shared" si="4"/>
        <v>Sitta europaea</v>
      </c>
    </row>
    <row r="292" spans="1:13" ht="15" customHeight="1" x14ac:dyDescent="0.2">
      <c r="A292" s="14" t="s">
        <v>31</v>
      </c>
      <c r="B292" s="15">
        <v>14042</v>
      </c>
      <c r="C292" s="16" t="s">
        <v>1765</v>
      </c>
      <c r="D292" s="15" t="s">
        <v>1766</v>
      </c>
      <c r="E292" s="17" t="s">
        <v>1293</v>
      </c>
      <c r="F292" s="18" t="s">
        <v>887</v>
      </c>
      <c r="G292" s="18"/>
      <c r="H292" s="18" t="s">
        <v>547</v>
      </c>
      <c r="I292" s="14" t="s">
        <v>1294</v>
      </c>
      <c r="J292" s="18"/>
      <c r="K292" s="18"/>
      <c r="M292" s="20" t="str">
        <f t="shared" si="4"/>
        <v>Stercorarius parasiticus</v>
      </c>
    </row>
    <row r="293" spans="1:13" ht="15" customHeight="1" x14ac:dyDescent="0.2">
      <c r="A293" s="14" t="s">
        <v>31</v>
      </c>
      <c r="B293" s="15">
        <v>14041</v>
      </c>
      <c r="C293" s="16" t="s">
        <v>1767</v>
      </c>
      <c r="D293" s="14" t="s">
        <v>1768</v>
      </c>
      <c r="E293" s="17" t="s">
        <v>1293</v>
      </c>
      <c r="F293" s="18" t="s">
        <v>888</v>
      </c>
      <c r="G293" s="18"/>
      <c r="H293" s="18" t="s">
        <v>547</v>
      </c>
      <c r="I293" s="14" t="s">
        <v>1294</v>
      </c>
      <c r="J293" s="18"/>
      <c r="K293" s="18"/>
      <c r="M293" s="20" t="str">
        <f t="shared" si="4"/>
        <v>Stercorarius pomarinus</v>
      </c>
    </row>
    <row r="294" spans="1:13" ht="15" customHeight="1" x14ac:dyDescent="0.2">
      <c r="A294" s="14" t="s">
        <v>31</v>
      </c>
      <c r="B294" s="15">
        <v>14044</v>
      </c>
      <c r="C294" s="16" t="s">
        <v>1769</v>
      </c>
      <c r="D294" s="14" t="s">
        <v>1770</v>
      </c>
      <c r="E294" s="17" t="s">
        <v>1293</v>
      </c>
      <c r="F294" s="18" t="s">
        <v>889</v>
      </c>
      <c r="G294" s="18"/>
      <c r="H294" s="18" t="s">
        <v>547</v>
      </c>
      <c r="I294" s="14" t="s">
        <v>1294</v>
      </c>
      <c r="J294" s="18"/>
      <c r="K294" s="18"/>
      <c r="M294" s="20" t="str">
        <f t="shared" si="4"/>
        <v>Stercorarius skua</v>
      </c>
    </row>
    <row r="295" spans="1:13" ht="15" customHeight="1" x14ac:dyDescent="0.2">
      <c r="A295" s="14" t="s">
        <v>31</v>
      </c>
      <c r="B295" s="15">
        <v>10831</v>
      </c>
      <c r="C295" s="16" t="s">
        <v>1771</v>
      </c>
      <c r="D295" s="15" t="s">
        <v>1772</v>
      </c>
      <c r="E295" s="17" t="s">
        <v>1293</v>
      </c>
      <c r="F295" s="18" t="s">
        <v>1773</v>
      </c>
      <c r="G295" s="18" t="s">
        <v>1774</v>
      </c>
      <c r="H295" s="18" t="s">
        <v>547</v>
      </c>
      <c r="I295" s="14" t="s">
        <v>1449</v>
      </c>
      <c r="J295" s="18"/>
      <c r="K295" s="14"/>
      <c r="M295" s="20" t="str">
        <f t="shared" si="4"/>
        <v>Sterna bengalensis</v>
      </c>
    </row>
    <row r="296" spans="1:13" ht="15" customHeight="1" x14ac:dyDescent="0.2">
      <c r="A296" s="14" t="s">
        <v>31</v>
      </c>
      <c r="B296" s="15">
        <v>14073</v>
      </c>
      <c r="C296" s="16" t="s">
        <v>915</v>
      </c>
      <c r="D296" s="15" t="s">
        <v>1775</v>
      </c>
      <c r="E296" s="17" t="s">
        <v>1293</v>
      </c>
      <c r="F296" s="18" t="s">
        <v>916</v>
      </c>
      <c r="G296" s="18"/>
      <c r="H296" s="18" t="s">
        <v>547</v>
      </c>
      <c r="I296" s="14" t="s">
        <v>1294</v>
      </c>
      <c r="J296" s="18"/>
      <c r="K296" s="18"/>
      <c r="M296" s="20" t="str">
        <f t="shared" si="4"/>
        <v>Sterna caspia</v>
      </c>
    </row>
    <row r="297" spans="1:13" ht="15" customHeight="1" x14ac:dyDescent="0.2">
      <c r="A297" s="14" t="s">
        <v>31</v>
      </c>
      <c r="B297" s="15">
        <v>14078</v>
      </c>
      <c r="C297" s="16" t="s">
        <v>1776</v>
      </c>
      <c r="D297" s="14" t="s">
        <v>1777</v>
      </c>
      <c r="E297" s="17" t="s">
        <v>1293</v>
      </c>
      <c r="F297" s="18" t="s">
        <v>1778</v>
      </c>
      <c r="G297" s="18"/>
      <c r="H297" s="18" t="s">
        <v>547</v>
      </c>
      <c r="I297" s="14" t="s">
        <v>1294</v>
      </c>
      <c r="J297" s="18"/>
      <c r="K297" s="18"/>
      <c r="M297" s="20" t="str">
        <f t="shared" si="4"/>
        <v>Sterna dougallii</v>
      </c>
    </row>
    <row r="298" spans="1:13" ht="15" customHeight="1" x14ac:dyDescent="0.2">
      <c r="A298" s="14" t="s">
        <v>31</v>
      </c>
      <c r="B298" s="15">
        <v>14079</v>
      </c>
      <c r="C298" s="16" t="s">
        <v>917</v>
      </c>
      <c r="D298" s="15" t="s">
        <v>1779</v>
      </c>
      <c r="E298" s="17" t="s">
        <v>1293</v>
      </c>
      <c r="F298" s="18" t="s">
        <v>918</v>
      </c>
      <c r="G298" s="18"/>
      <c r="H298" s="18" t="s">
        <v>547</v>
      </c>
      <c r="I298" s="14" t="s">
        <v>1294</v>
      </c>
      <c r="J298" s="18"/>
      <c r="K298" s="18"/>
      <c r="M298" s="20" t="str">
        <f t="shared" si="4"/>
        <v>Sterna hirundo</v>
      </c>
    </row>
    <row r="299" spans="1:13" ht="15" customHeight="1" x14ac:dyDescent="0.2">
      <c r="A299" s="14" t="s">
        <v>31</v>
      </c>
      <c r="B299" s="15">
        <v>11938</v>
      </c>
      <c r="C299" s="16" t="s">
        <v>1780</v>
      </c>
      <c r="D299" s="15" t="s">
        <v>1781</v>
      </c>
      <c r="E299" s="17" t="s">
        <v>1293</v>
      </c>
      <c r="F299" s="18" t="s">
        <v>1782</v>
      </c>
      <c r="G299" s="18"/>
      <c r="H299" s="18" t="s">
        <v>547</v>
      </c>
      <c r="I299" s="14" t="s">
        <v>1294</v>
      </c>
      <c r="J299" s="18"/>
      <c r="K299" s="18"/>
      <c r="M299" s="20" t="str">
        <f t="shared" si="4"/>
        <v>Sterna paradisaea</v>
      </c>
    </row>
    <row r="300" spans="1:13" ht="15" customHeight="1" x14ac:dyDescent="0.2">
      <c r="A300" s="14" t="s">
        <v>31</v>
      </c>
      <c r="B300" s="15">
        <v>14084</v>
      </c>
      <c r="C300" s="16" t="s">
        <v>913</v>
      </c>
      <c r="D300" s="15" t="s">
        <v>1783</v>
      </c>
      <c r="E300" s="17" t="s">
        <v>1293</v>
      </c>
      <c r="F300" s="18" t="s">
        <v>914</v>
      </c>
      <c r="G300" s="18"/>
      <c r="H300" s="18" t="s">
        <v>547</v>
      </c>
      <c r="I300" s="14" t="s">
        <v>1294</v>
      </c>
      <c r="J300" s="18"/>
      <c r="K300" s="18"/>
      <c r="M300" s="20" t="str">
        <f t="shared" si="4"/>
        <v>Sterna albifrons</v>
      </c>
    </row>
    <row r="301" spans="1:13" ht="15" customHeight="1" x14ac:dyDescent="0.2">
      <c r="A301" s="14" t="s">
        <v>31</v>
      </c>
      <c r="B301" s="15">
        <v>10698</v>
      </c>
      <c r="C301" s="16" t="s">
        <v>385</v>
      </c>
      <c r="D301" s="15" t="s">
        <v>1784</v>
      </c>
      <c r="E301" s="17" t="s">
        <v>1293</v>
      </c>
      <c r="F301" s="18" t="s">
        <v>645</v>
      </c>
      <c r="G301" s="18"/>
      <c r="H301" s="18" t="s">
        <v>547</v>
      </c>
      <c r="I301" s="14" t="s">
        <v>1294</v>
      </c>
      <c r="J301" s="18"/>
      <c r="K301" s="18"/>
      <c r="M301" s="20" t="str">
        <f t="shared" si="4"/>
        <v>Strix aluco</v>
      </c>
    </row>
    <row r="302" spans="1:13" ht="15" customHeight="1" x14ac:dyDescent="0.2">
      <c r="A302" s="14" t="s">
        <v>31</v>
      </c>
      <c r="B302" s="15">
        <v>10791</v>
      </c>
      <c r="C302" s="16" t="s">
        <v>630</v>
      </c>
      <c r="D302" s="15" t="s">
        <v>1785</v>
      </c>
      <c r="E302" s="17" t="s">
        <v>1293</v>
      </c>
      <c r="F302" s="18" t="s">
        <v>631</v>
      </c>
      <c r="G302" s="18"/>
      <c r="H302" s="18" t="s">
        <v>547</v>
      </c>
      <c r="I302" s="14" t="s">
        <v>1294</v>
      </c>
      <c r="J302" s="18"/>
      <c r="K302" s="18"/>
      <c r="M302" s="20" t="str">
        <f t="shared" si="4"/>
        <v>Sylvia atricapilla</v>
      </c>
    </row>
    <row r="303" spans="1:13" ht="15" customHeight="1" x14ac:dyDescent="0.2">
      <c r="A303" s="14" t="s">
        <v>31</v>
      </c>
      <c r="B303" s="15">
        <v>80946</v>
      </c>
      <c r="C303" s="16" t="s">
        <v>1786</v>
      </c>
      <c r="D303" s="34" t="s">
        <v>1787</v>
      </c>
      <c r="E303" s="17" t="s">
        <v>1293</v>
      </c>
      <c r="F303" s="18" t="s">
        <v>1788</v>
      </c>
      <c r="G303" s="18"/>
      <c r="H303" s="18" t="s">
        <v>547</v>
      </c>
      <c r="I303" s="14" t="s">
        <v>1294</v>
      </c>
      <c r="J303" s="18"/>
      <c r="K303" s="18"/>
      <c r="M303" s="20" t="str">
        <f t="shared" si="4"/>
        <v>Sylvia balearica (= S. sarda)</v>
      </c>
    </row>
    <row r="304" spans="1:13" ht="15" customHeight="1" x14ac:dyDescent="0.2">
      <c r="A304" s="14" t="s">
        <v>31</v>
      </c>
      <c r="B304" s="15">
        <v>10728</v>
      </c>
      <c r="C304" s="16" t="s">
        <v>995</v>
      </c>
      <c r="D304" s="15" t="s">
        <v>1789</v>
      </c>
      <c r="E304" s="17" t="s">
        <v>1293</v>
      </c>
      <c r="F304" s="18" t="s">
        <v>996</v>
      </c>
      <c r="G304" s="18"/>
      <c r="H304" s="18" t="s">
        <v>547</v>
      </c>
      <c r="I304" s="14" t="s">
        <v>1294</v>
      </c>
      <c r="J304" s="18"/>
      <c r="K304" s="18"/>
      <c r="M304" s="20" t="str">
        <f t="shared" si="4"/>
        <v>Sylvia borin</v>
      </c>
    </row>
    <row r="305" spans="1:13" ht="15" customHeight="1" x14ac:dyDescent="0.2">
      <c r="A305" s="14" t="s">
        <v>31</v>
      </c>
      <c r="B305" s="15">
        <v>80920</v>
      </c>
      <c r="C305" s="16" t="s">
        <v>264</v>
      </c>
      <c r="D305" s="34" t="s">
        <v>1790</v>
      </c>
      <c r="E305" s="17" t="s">
        <v>1293</v>
      </c>
      <c r="F305" s="18" t="s">
        <v>612</v>
      </c>
      <c r="G305" s="18"/>
      <c r="H305" s="18" t="s">
        <v>547</v>
      </c>
      <c r="I305" s="14" t="s">
        <v>1294</v>
      </c>
      <c r="J305" s="18"/>
      <c r="K305" s="18"/>
      <c r="M305" s="20" t="str">
        <f t="shared" si="4"/>
        <v>Sylvia cantillans</v>
      </c>
    </row>
    <row r="306" spans="1:13" ht="16.5" customHeight="1" x14ac:dyDescent="0.2">
      <c r="A306" s="14" t="s">
        <v>31</v>
      </c>
      <c r="B306" s="15">
        <v>80921</v>
      </c>
      <c r="C306" s="16" t="s">
        <v>997</v>
      </c>
      <c r="D306" s="34" t="s">
        <v>1791</v>
      </c>
      <c r="E306" s="17" t="s">
        <v>1293</v>
      </c>
      <c r="F306" s="18" t="s">
        <v>998</v>
      </c>
      <c r="G306" s="18"/>
      <c r="H306" s="18" t="s">
        <v>547</v>
      </c>
      <c r="I306" s="14" t="s">
        <v>1294</v>
      </c>
      <c r="J306" s="18"/>
      <c r="K306" s="18"/>
      <c r="M306" s="20" t="str">
        <f t="shared" si="4"/>
        <v>Sylvia communis</v>
      </c>
    </row>
    <row r="307" spans="1:13" ht="15" customHeight="1" x14ac:dyDescent="0.2">
      <c r="A307" s="14" t="s">
        <v>31</v>
      </c>
      <c r="B307" s="15">
        <v>80923</v>
      </c>
      <c r="C307" s="16" t="s">
        <v>388</v>
      </c>
      <c r="D307" s="34" t="s">
        <v>1792</v>
      </c>
      <c r="E307" s="17" t="s">
        <v>1293</v>
      </c>
      <c r="F307" s="18" t="s">
        <v>999</v>
      </c>
      <c r="G307" s="18"/>
      <c r="H307" s="18" t="s">
        <v>547</v>
      </c>
      <c r="I307" s="14" t="s">
        <v>1294</v>
      </c>
      <c r="J307" s="18"/>
      <c r="K307" s="18"/>
      <c r="M307" s="20" t="str">
        <f t="shared" si="4"/>
        <v>Sylvia conspicillata</v>
      </c>
    </row>
    <row r="308" spans="1:13" ht="15" customHeight="1" x14ac:dyDescent="0.2">
      <c r="A308" s="14" t="s">
        <v>31</v>
      </c>
      <c r="B308" s="15">
        <v>80925</v>
      </c>
      <c r="C308" s="16" t="s">
        <v>1793</v>
      </c>
      <c r="D308" s="34" t="s">
        <v>1794</v>
      </c>
      <c r="E308" s="17" t="s">
        <v>1293</v>
      </c>
      <c r="F308" s="18" t="s">
        <v>1795</v>
      </c>
      <c r="G308" s="18"/>
      <c r="H308" s="18" t="s">
        <v>547</v>
      </c>
      <c r="I308" s="14" t="s">
        <v>1294</v>
      </c>
      <c r="J308" s="18"/>
      <c r="K308" s="18"/>
      <c r="M308" s="20" t="str">
        <f t="shared" si="4"/>
        <v>Sylvia curruca</v>
      </c>
    </row>
    <row r="309" spans="1:13" ht="15" customHeight="1" x14ac:dyDescent="0.2">
      <c r="A309" s="14" t="s">
        <v>31</v>
      </c>
      <c r="B309" s="15">
        <v>80927</v>
      </c>
      <c r="C309" s="16" t="s">
        <v>567</v>
      </c>
      <c r="D309" s="34" t="s">
        <v>1796</v>
      </c>
      <c r="E309" s="17" t="s">
        <v>1293</v>
      </c>
      <c r="F309" s="18" t="s">
        <v>1000</v>
      </c>
      <c r="G309" s="18"/>
      <c r="H309" s="18" t="s">
        <v>547</v>
      </c>
      <c r="I309" s="14" t="s">
        <v>1294</v>
      </c>
      <c r="J309" s="18"/>
      <c r="K309" s="18"/>
      <c r="M309" s="20" t="str">
        <f t="shared" si="4"/>
        <v>Sylvia hortensis</v>
      </c>
    </row>
    <row r="310" spans="1:13" ht="15" customHeight="1" x14ac:dyDescent="0.2">
      <c r="A310" s="14" t="s">
        <v>31</v>
      </c>
      <c r="B310" s="15">
        <v>80929</v>
      </c>
      <c r="C310" s="16" t="s">
        <v>524</v>
      </c>
      <c r="D310" s="34" t="s">
        <v>1797</v>
      </c>
      <c r="E310" s="17" t="s">
        <v>1293</v>
      </c>
      <c r="F310" s="18" t="s">
        <v>692</v>
      </c>
      <c r="G310" s="18"/>
      <c r="H310" s="18" t="s">
        <v>547</v>
      </c>
      <c r="I310" s="14" t="s">
        <v>1294</v>
      </c>
      <c r="J310" s="18"/>
      <c r="K310" s="18"/>
      <c r="M310" s="20" t="str">
        <f t="shared" si="4"/>
        <v>Sylvia melanocephala</v>
      </c>
    </row>
    <row r="311" spans="1:13" ht="15" customHeight="1" x14ac:dyDescent="0.2">
      <c r="A311" s="14" t="s">
        <v>31</v>
      </c>
      <c r="B311" s="15">
        <v>80931</v>
      </c>
      <c r="C311" s="16" t="s">
        <v>261</v>
      </c>
      <c r="D311" s="34" t="s">
        <v>1798</v>
      </c>
      <c r="E311" s="17" t="s">
        <v>1293</v>
      </c>
      <c r="F311" s="18" t="s">
        <v>611</v>
      </c>
      <c r="G311" s="18"/>
      <c r="H311" s="18" t="s">
        <v>547</v>
      </c>
      <c r="I311" s="14" t="s">
        <v>1294</v>
      </c>
      <c r="J311" s="18"/>
      <c r="K311" s="18"/>
      <c r="M311" s="20" t="str">
        <f t="shared" si="4"/>
        <v>Sylvia undata</v>
      </c>
    </row>
    <row r="312" spans="1:13" ht="15" customHeight="1" x14ac:dyDescent="0.2">
      <c r="A312" s="14" t="s">
        <v>31</v>
      </c>
      <c r="B312" s="15">
        <v>12121</v>
      </c>
      <c r="C312" s="16" t="s">
        <v>728</v>
      </c>
      <c r="D312" s="15" t="s">
        <v>1799</v>
      </c>
      <c r="E312" s="17" t="s">
        <v>1293</v>
      </c>
      <c r="F312" s="18" t="s">
        <v>729</v>
      </c>
      <c r="G312" s="18"/>
      <c r="H312" s="18" t="s">
        <v>547</v>
      </c>
      <c r="I312" s="14" t="s">
        <v>1294</v>
      </c>
      <c r="J312" s="18"/>
      <c r="K312" s="18"/>
      <c r="M312" s="20" t="str">
        <f t="shared" si="4"/>
        <v>Tachybaptus ruficollis</v>
      </c>
    </row>
    <row r="313" spans="1:13" ht="15" customHeight="1" x14ac:dyDescent="0.2">
      <c r="A313" s="14" t="s">
        <v>31</v>
      </c>
      <c r="B313" s="15">
        <v>24459</v>
      </c>
      <c r="C313" s="16" t="s">
        <v>558</v>
      </c>
      <c r="D313" s="15" t="s">
        <v>1800</v>
      </c>
      <c r="E313" s="17" t="s">
        <v>1293</v>
      </c>
      <c r="F313" s="18" t="s">
        <v>559</v>
      </c>
      <c r="G313" s="18"/>
      <c r="H313" s="18" t="s">
        <v>547</v>
      </c>
      <c r="I313" s="14" t="s">
        <v>1294</v>
      </c>
      <c r="J313" s="18"/>
      <c r="K313" s="18"/>
      <c r="M313" s="20" t="str">
        <f t="shared" si="4"/>
        <v>Apus melba</v>
      </c>
    </row>
    <row r="314" spans="1:13" ht="15" customHeight="1" x14ac:dyDescent="0.2">
      <c r="A314" s="14" t="s">
        <v>31</v>
      </c>
      <c r="B314" s="15">
        <v>11261</v>
      </c>
      <c r="C314" s="16" t="s">
        <v>780</v>
      </c>
      <c r="D314" s="15" t="s">
        <v>1801</v>
      </c>
      <c r="E314" s="17" t="s">
        <v>1293</v>
      </c>
      <c r="F314" s="18" t="s">
        <v>781</v>
      </c>
      <c r="G314" s="18"/>
      <c r="H314" s="18" t="s">
        <v>547</v>
      </c>
      <c r="I314" s="14" t="s">
        <v>1294</v>
      </c>
      <c r="J314" s="18"/>
      <c r="K314" s="18"/>
      <c r="M314" s="20" t="str">
        <f t="shared" si="4"/>
        <v>Tadorna ferruginea</v>
      </c>
    </row>
    <row r="315" spans="1:13" ht="15" customHeight="1" x14ac:dyDescent="0.2">
      <c r="A315" s="14" t="s">
        <v>31</v>
      </c>
      <c r="B315" s="15">
        <v>12286</v>
      </c>
      <c r="C315" s="21" t="s">
        <v>782</v>
      </c>
      <c r="D315" s="15" t="s">
        <v>1802</v>
      </c>
      <c r="E315" s="17" t="s">
        <v>1293</v>
      </c>
      <c r="F315" s="24" t="s">
        <v>783</v>
      </c>
      <c r="G315" s="24"/>
      <c r="H315" s="18" t="s">
        <v>547</v>
      </c>
      <c r="I315" s="14" t="s">
        <v>1294</v>
      </c>
      <c r="J315" s="18"/>
      <c r="K315" s="18"/>
      <c r="M315" s="20" t="str">
        <f t="shared" si="4"/>
        <v>Tadorna tadorna</v>
      </c>
    </row>
    <row r="316" spans="1:13" ht="25.9" customHeight="1" x14ac:dyDescent="0.25">
      <c r="A316" s="14" t="s">
        <v>31</v>
      </c>
      <c r="B316" s="15">
        <v>12372</v>
      </c>
      <c r="C316" s="16" t="s">
        <v>1803</v>
      </c>
      <c r="D316" s="35" t="s">
        <v>1804</v>
      </c>
      <c r="E316" s="18" t="s">
        <v>1293</v>
      </c>
      <c r="F316" s="18" t="s">
        <v>1805</v>
      </c>
      <c r="G316" s="18"/>
      <c r="H316" s="18" t="s">
        <v>1300</v>
      </c>
      <c r="I316" s="14" t="s">
        <v>1472</v>
      </c>
      <c r="J316" s="18" t="s">
        <v>1473</v>
      </c>
      <c r="K316" s="49" t="s">
        <v>1806</v>
      </c>
      <c r="M316" s="20" t="str">
        <f t="shared" si="4"/>
        <v>Tetrao urogallus aquitanicus</v>
      </c>
    </row>
    <row r="317" spans="1:13" ht="41.25" customHeight="1" x14ac:dyDescent="0.25">
      <c r="A317" s="14" t="s">
        <v>31</v>
      </c>
      <c r="B317" s="15">
        <v>12372</v>
      </c>
      <c r="C317" s="16" t="s">
        <v>1807</v>
      </c>
      <c r="D317" s="35" t="s">
        <v>1804</v>
      </c>
      <c r="E317" s="18" t="s">
        <v>1293</v>
      </c>
      <c r="F317" s="18" t="s">
        <v>1805</v>
      </c>
      <c r="G317" s="18"/>
      <c r="H317" s="18" t="s">
        <v>1300</v>
      </c>
      <c r="I317" s="14" t="s">
        <v>1294</v>
      </c>
      <c r="J317" s="18"/>
      <c r="K317" s="49" t="s">
        <v>1808</v>
      </c>
      <c r="M317" s="20" t="str">
        <f t="shared" si="4"/>
        <v>Tetrao urogallus cantabricus</v>
      </c>
    </row>
    <row r="318" spans="1:13" ht="15" customHeight="1" x14ac:dyDescent="0.2">
      <c r="A318" s="14" t="s">
        <v>31</v>
      </c>
      <c r="B318" s="15">
        <v>12312</v>
      </c>
      <c r="C318" s="16" t="s">
        <v>438</v>
      </c>
      <c r="D318" s="14" t="s">
        <v>1809</v>
      </c>
      <c r="E318" s="17" t="s">
        <v>1293</v>
      </c>
      <c r="F318" s="18" t="s">
        <v>829</v>
      </c>
      <c r="G318" s="18"/>
      <c r="H318" s="18" t="s">
        <v>1300</v>
      </c>
      <c r="I318" s="14" t="s">
        <v>1472</v>
      </c>
      <c r="J318" s="18" t="s">
        <v>1473</v>
      </c>
      <c r="K318" s="18"/>
      <c r="M318" s="20" t="str">
        <f t="shared" si="4"/>
        <v>Tetrax tetrax</v>
      </c>
    </row>
    <row r="319" spans="1:13" ht="15" customHeight="1" x14ac:dyDescent="0.2">
      <c r="A319" s="14" t="s">
        <v>31</v>
      </c>
      <c r="B319" s="15">
        <v>12147</v>
      </c>
      <c r="C319" s="16" t="s">
        <v>911</v>
      </c>
      <c r="D319" s="15" t="s">
        <v>1810</v>
      </c>
      <c r="E319" s="17" t="s">
        <v>1293</v>
      </c>
      <c r="F319" s="24" t="s">
        <v>912</v>
      </c>
      <c r="G319" s="24"/>
      <c r="H319" s="18" t="s">
        <v>547</v>
      </c>
      <c r="I319" s="14" t="s">
        <v>1294</v>
      </c>
      <c r="J319" s="18"/>
      <c r="K319" s="18"/>
      <c r="M319" s="20" t="str">
        <f t="shared" si="4"/>
        <v>Sterna (Thalasseus) sandvicensis</v>
      </c>
    </row>
    <row r="320" spans="1:13" ht="15" customHeight="1" x14ac:dyDescent="0.2">
      <c r="A320" s="14" t="s">
        <v>31</v>
      </c>
      <c r="B320" s="15">
        <v>11796</v>
      </c>
      <c r="C320" s="16" t="s">
        <v>1811</v>
      </c>
      <c r="D320" s="15" t="s">
        <v>1812</v>
      </c>
      <c r="E320" s="17" t="s">
        <v>1293</v>
      </c>
      <c r="F320" s="18" t="s">
        <v>1007</v>
      </c>
      <c r="G320" s="18"/>
      <c r="H320" s="18" t="s">
        <v>547</v>
      </c>
      <c r="I320" s="14" t="s">
        <v>1294</v>
      </c>
      <c r="J320" s="18"/>
      <c r="K320" s="18"/>
      <c r="M320" s="20" t="str">
        <f t="shared" si="4"/>
        <v>Tichodroma muraria</v>
      </c>
    </row>
    <row r="321" spans="1:13" ht="15" customHeight="1" x14ac:dyDescent="0.2">
      <c r="A321" s="14" t="s">
        <v>31</v>
      </c>
      <c r="B321" s="15">
        <v>11219</v>
      </c>
      <c r="C321" s="16" t="s">
        <v>1813</v>
      </c>
      <c r="D321" s="15" t="s">
        <v>1814</v>
      </c>
      <c r="E321" s="17" t="s">
        <v>1293</v>
      </c>
      <c r="F321" s="18" t="s">
        <v>877</v>
      </c>
      <c r="G321" s="18"/>
      <c r="H321" s="18" t="s">
        <v>547</v>
      </c>
      <c r="I321" s="14" t="s">
        <v>1294</v>
      </c>
      <c r="J321" s="18"/>
      <c r="K321" s="18"/>
      <c r="M321" s="20" t="str">
        <f t="shared" si="4"/>
        <v>Tringa erythropus</v>
      </c>
    </row>
    <row r="322" spans="1:13" ht="15" customHeight="1" x14ac:dyDescent="0.2">
      <c r="A322" s="14" t="s">
        <v>31</v>
      </c>
      <c r="B322" s="15">
        <v>11370</v>
      </c>
      <c r="C322" s="16" t="s">
        <v>878</v>
      </c>
      <c r="D322" s="15" t="s">
        <v>1815</v>
      </c>
      <c r="E322" s="17" t="s">
        <v>1293</v>
      </c>
      <c r="F322" s="18" t="s">
        <v>879</v>
      </c>
      <c r="G322" s="18"/>
      <c r="H322" s="18" t="s">
        <v>547</v>
      </c>
      <c r="I322" s="14" t="s">
        <v>1294</v>
      </c>
      <c r="J322" s="18"/>
      <c r="K322" s="18"/>
      <c r="M322" s="20" t="str">
        <f t="shared" si="4"/>
        <v>Tringa glareola</v>
      </c>
    </row>
    <row r="323" spans="1:13" ht="15" customHeight="1" x14ac:dyDescent="0.2">
      <c r="A323" s="14" t="s">
        <v>31</v>
      </c>
      <c r="B323" s="15">
        <v>11825</v>
      </c>
      <c r="C323" s="16" t="s">
        <v>1816</v>
      </c>
      <c r="D323" s="14" t="s">
        <v>1817</v>
      </c>
      <c r="E323" s="17" t="s">
        <v>1293</v>
      </c>
      <c r="F323" s="18" t="s">
        <v>880</v>
      </c>
      <c r="G323" s="18"/>
      <c r="H323" s="18" t="s">
        <v>547</v>
      </c>
      <c r="I323" s="14" t="s">
        <v>1294</v>
      </c>
      <c r="J323" s="18"/>
      <c r="K323" s="18"/>
      <c r="M323" s="20" t="str">
        <f t="shared" ref="M323:M386" si="5">TRIM(C323)</f>
        <v>Tringa nebularia</v>
      </c>
    </row>
    <row r="324" spans="1:13" ht="15" customHeight="1" x14ac:dyDescent="0.2">
      <c r="A324" s="14" t="s">
        <v>31</v>
      </c>
      <c r="B324" s="15">
        <v>11885</v>
      </c>
      <c r="C324" s="16" t="s">
        <v>881</v>
      </c>
      <c r="D324" s="14" t="s">
        <v>1818</v>
      </c>
      <c r="E324" s="17" t="s">
        <v>1293</v>
      </c>
      <c r="F324" s="18" t="s">
        <v>882</v>
      </c>
      <c r="G324" s="18"/>
      <c r="H324" s="18" t="s">
        <v>547</v>
      </c>
      <c r="I324" s="14" t="s">
        <v>1294</v>
      </c>
      <c r="J324" s="18"/>
      <c r="K324" s="18"/>
      <c r="M324" s="20" t="str">
        <f t="shared" si="5"/>
        <v>Tringa ochropus</v>
      </c>
    </row>
    <row r="325" spans="1:13" ht="15" customHeight="1" x14ac:dyDescent="0.2">
      <c r="A325" s="14" t="s">
        <v>31</v>
      </c>
      <c r="B325" s="15">
        <v>12241</v>
      </c>
      <c r="C325" s="16" t="s">
        <v>883</v>
      </c>
      <c r="D325" s="14" t="s">
        <v>1819</v>
      </c>
      <c r="E325" s="17" t="s">
        <v>1293</v>
      </c>
      <c r="F325" s="18" t="s">
        <v>884</v>
      </c>
      <c r="G325" s="18"/>
      <c r="H325" s="18" t="s">
        <v>547</v>
      </c>
      <c r="I325" s="14" t="s">
        <v>1294</v>
      </c>
      <c r="J325" s="18"/>
      <c r="K325" s="18"/>
      <c r="M325" s="20" t="str">
        <f t="shared" si="5"/>
        <v>Tringa stagnatilis</v>
      </c>
    </row>
    <row r="326" spans="1:13" ht="15" customHeight="1" x14ac:dyDescent="0.2">
      <c r="A326" s="14" t="s">
        <v>31</v>
      </c>
      <c r="B326" s="15">
        <v>12329</v>
      </c>
      <c r="C326" s="16" t="s">
        <v>885</v>
      </c>
      <c r="D326" s="14" t="s">
        <v>1820</v>
      </c>
      <c r="E326" s="17" t="s">
        <v>1293</v>
      </c>
      <c r="F326" s="18" t="s">
        <v>886</v>
      </c>
      <c r="G326" s="18"/>
      <c r="H326" s="18" t="s">
        <v>547</v>
      </c>
      <c r="I326" s="14" t="s">
        <v>1294</v>
      </c>
      <c r="J326" s="18"/>
      <c r="K326" s="18"/>
      <c r="M326" s="20" t="str">
        <f t="shared" si="5"/>
        <v>Tringa totanus</v>
      </c>
    </row>
    <row r="327" spans="1:13" ht="15" customHeight="1" x14ac:dyDescent="0.2">
      <c r="A327" s="14" t="s">
        <v>31</v>
      </c>
      <c r="B327" s="15">
        <v>12340</v>
      </c>
      <c r="C327" s="16" t="s">
        <v>492</v>
      </c>
      <c r="D327" s="14" t="s">
        <v>1821</v>
      </c>
      <c r="E327" s="17" t="s">
        <v>1293</v>
      </c>
      <c r="F327" s="18" t="s">
        <v>680</v>
      </c>
      <c r="G327" s="18"/>
      <c r="H327" s="18" t="s">
        <v>547</v>
      </c>
      <c r="I327" s="14" t="s">
        <v>1294</v>
      </c>
      <c r="J327" s="18"/>
      <c r="K327" s="18"/>
      <c r="M327" s="20" t="str">
        <f t="shared" si="5"/>
        <v>Troglodytes troglodytes</v>
      </c>
    </row>
    <row r="328" spans="1:13" ht="15" customHeight="1" x14ac:dyDescent="0.2">
      <c r="A328" s="14" t="s">
        <v>31</v>
      </c>
      <c r="B328" s="15">
        <v>12324</v>
      </c>
      <c r="C328" s="16" t="s">
        <v>970</v>
      </c>
      <c r="D328" s="14" t="s">
        <v>1822</v>
      </c>
      <c r="E328" s="17" t="s">
        <v>1293</v>
      </c>
      <c r="F328" s="18" t="s">
        <v>971</v>
      </c>
      <c r="G328" s="18"/>
      <c r="H328" s="18" t="s">
        <v>547</v>
      </c>
      <c r="I328" s="14" t="s">
        <v>1294</v>
      </c>
      <c r="J328" s="18"/>
      <c r="K328" s="18"/>
      <c r="M328" s="20" t="str">
        <f t="shared" si="5"/>
        <v>Turdus torquatus</v>
      </c>
    </row>
    <row r="329" spans="1:13" ht="15" customHeight="1" x14ac:dyDescent="0.2">
      <c r="A329" s="14" t="s">
        <v>31</v>
      </c>
      <c r="B329" s="15">
        <v>12284</v>
      </c>
      <c r="C329" s="16" t="s">
        <v>811</v>
      </c>
      <c r="D329" s="15" t="s">
        <v>1823</v>
      </c>
      <c r="E329" s="17" t="s">
        <v>1293</v>
      </c>
      <c r="F329" s="18" t="s">
        <v>812</v>
      </c>
      <c r="G329" s="18"/>
      <c r="H329" s="18" t="s">
        <v>1300</v>
      </c>
      <c r="I329" s="14" t="s">
        <v>1294</v>
      </c>
      <c r="J329" s="18"/>
      <c r="K329" s="18"/>
      <c r="M329" s="20" t="str">
        <f t="shared" si="5"/>
        <v>Turnix sylvatica</v>
      </c>
    </row>
    <row r="330" spans="1:13" ht="14.45" customHeight="1" x14ac:dyDescent="0.2">
      <c r="A330" s="14" t="s">
        <v>31</v>
      </c>
      <c r="B330" s="15">
        <v>36632</v>
      </c>
      <c r="C330" s="16" t="s">
        <v>929</v>
      </c>
      <c r="D330" s="14" t="s">
        <v>1824</v>
      </c>
      <c r="E330" s="17" t="s">
        <v>1318</v>
      </c>
      <c r="F330" s="18" t="s">
        <v>634</v>
      </c>
      <c r="G330" s="18"/>
      <c r="H330" s="18" t="s">
        <v>547</v>
      </c>
      <c r="I330" s="14" t="s">
        <v>1294</v>
      </c>
      <c r="J330" s="18"/>
      <c r="K330" s="18"/>
      <c r="M330" s="20" t="str">
        <f t="shared" si="5"/>
        <v>Tyto alba alba</v>
      </c>
    </row>
    <row r="331" spans="1:13" ht="14.45" customHeight="1" x14ac:dyDescent="0.2">
      <c r="A331" s="14" t="s">
        <v>31</v>
      </c>
      <c r="B331" s="15">
        <v>23788</v>
      </c>
      <c r="C331" s="16" t="s">
        <v>1825</v>
      </c>
      <c r="D331" s="30" t="s">
        <v>1826</v>
      </c>
      <c r="E331" s="17" t="s">
        <v>1318</v>
      </c>
      <c r="F331" s="18" t="s">
        <v>1827</v>
      </c>
      <c r="G331" s="18"/>
      <c r="H331" s="18" t="s">
        <v>562</v>
      </c>
      <c r="I331" s="14" t="s">
        <v>1294</v>
      </c>
      <c r="J331" s="18"/>
      <c r="K331" s="18"/>
      <c r="M331" s="20" t="str">
        <f t="shared" si="5"/>
        <v>Tyto alba gracilirostris</v>
      </c>
    </row>
    <row r="332" spans="1:13" ht="15" customHeight="1" x14ac:dyDescent="0.2">
      <c r="A332" s="14" t="s">
        <v>31</v>
      </c>
      <c r="B332" s="15">
        <v>11211</v>
      </c>
      <c r="C332" s="16" t="s">
        <v>416</v>
      </c>
      <c r="D332" s="14" t="s">
        <v>1828</v>
      </c>
      <c r="E332" s="17" t="s">
        <v>1293</v>
      </c>
      <c r="F332" s="18" t="s">
        <v>656</v>
      </c>
      <c r="G332" s="18"/>
      <c r="H332" s="18" t="s">
        <v>547</v>
      </c>
      <c r="I332" s="14" t="s">
        <v>1294</v>
      </c>
      <c r="J332" s="18"/>
      <c r="K332" s="18"/>
      <c r="M332" s="20" t="str">
        <f t="shared" si="5"/>
        <v>Upupa epops</v>
      </c>
    </row>
    <row r="333" spans="1:13" s="27" customFormat="1" ht="15" customHeight="1" x14ac:dyDescent="0.2">
      <c r="A333" s="14" t="s">
        <v>31</v>
      </c>
      <c r="B333" s="15">
        <v>14088</v>
      </c>
      <c r="C333" s="16" t="s">
        <v>922</v>
      </c>
      <c r="D333" s="14" t="s">
        <v>1829</v>
      </c>
      <c r="E333" s="17" t="s">
        <v>1293</v>
      </c>
      <c r="F333" s="18" t="s">
        <v>923</v>
      </c>
      <c r="G333" s="18" t="s">
        <v>1830</v>
      </c>
      <c r="H333" s="18" t="s">
        <v>547</v>
      </c>
      <c r="I333" s="14" t="s">
        <v>1294</v>
      </c>
      <c r="J333" s="18"/>
      <c r="K333" s="18"/>
      <c r="M333" s="20" t="str">
        <f t="shared" si="5"/>
        <v>Uria aalge</v>
      </c>
    </row>
    <row r="334" spans="1:13" s="27" customFormat="1" ht="15" customHeight="1" x14ac:dyDescent="0.2">
      <c r="A334" s="14" t="s">
        <v>31</v>
      </c>
      <c r="B334" s="15">
        <v>14088</v>
      </c>
      <c r="C334" s="16" t="s">
        <v>922</v>
      </c>
      <c r="D334" s="14" t="s">
        <v>1829</v>
      </c>
      <c r="E334" s="17" t="s">
        <v>1293</v>
      </c>
      <c r="F334" s="18" t="s">
        <v>923</v>
      </c>
      <c r="G334" s="18" t="s">
        <v>1831</v>
      </c>
      <c r="H334" s="18" t="s">
        <v>1300</v>
      </c>
      <c r="I334" s="14" t="s">
        <v>1294</v>
      </c>
      <c r="J334" s="18"/>
      <c r="K334" s="18"/>
      <c r="M334" s="20" t="str">
        <f t="shared" si="5"/>
        <v>Uria aalge</v>
      </c>
    </row>
    <row r="335" spans="1:13" ht="15" customHeight="1" x14ac:dyDescent="0.2">
      <c r="A335" s="15" t="s">
        <v>695</v>
      </c>
      <c r="B335" s="15">
        <v>79298</v>
      </c>
      <c r="C335" s="21" t="s">
        <v>1832</v>
      </c>
      <c r="D335" s="42" t="s">
        <v>1833</v>
      </c>
      <c r="E335" s="17" t="s">
        <v>1293</v>
      </c>
      <c r="F335" s="24" t="s">
        <v>1834</v>
      </c>
      <c r="G335" s="24"/>
      <c r="H335" s="24" t="s">
        <v>1300</v>
      </c>
      <c r="I335" s="15" t="s">
        <v>1294</v>
      </c>
      <c r="J335" s="24"/>
      <c r="K335" s="24"/>
      <c r="M335" s="20" t="str">
        <f t="shared" si="5"/>
        <v>Isoplexis chalcantha</v>
      </c>
    </row>
    <row r="336" spans="1:13" ht="15" customHeight="1" x14ac:dyDescent="0.2">
      <c r="A336" s="15" t="s">
        <v>695</v>
      </c>
      <c r="B336" s="15">
        <v>79299</v>
      </c>
      <c r="C336" s="21" t="s">
        <v>1835</v>
      </c>
      <c r="D336" s="42" t="s">
        <v>1836</v>
      </c>
      <c r="E336" s="17" t="s">
        <v>1293</v>
      </c>
      <c r="F336" s="24" t="s">
        <v>1837</v>
      </c>
      <c r="G336" s="24"/>
      <c r="H336" s="24" t="s">
        <v>1300</v>
      </c>
      <c r="I336" s="15" t="s">
        <v>1294</v>
      </c>
      <c r="J336" s="24"/>
      <c r="K336" s="24"/>
      <c r="M336" s="20" t="str">
        <f t="shared" si="5"/>
        <v>Isoplexis isabelliana</v>
      </c>
    </row>
    <row r="337" spans="1:13" ht="15" customHeight="1" x14ac:dyDescent="0.2">
      <c r="A337" s="15" t="s">
        <v>695</v>
      </c>
      <c r="B337" s="15">
        <v>24248</v>
      </c>
      <c r="C337" s="21" t="s">
        <v>1838</v>
      </c>
      <c r="D337" s="26" t="s">
        <v>1839</v>
      </c>
      <c r="E337" s="17" t="s">
        <v>1293</v>
      </c>
      <c r="F337" s="24" t="s">
        <v>1840</v>
      </c>
      <c r="G337" s="24"/>
      <c r="H337" s="18" t="s">
        <v>547</v>
      </c>
      <c r="I337" s="15" t="s">
        <v>1294</v>
      </c>
      <c r="J337" s="24"/>
      <c r="K337" s="24"/>
      <c r="M337" s="20" t="str">
        <f t="shared" si="5"/>
        <v>Jasione lusitanica</v>
      </c>
    </row>
    <row r="338" spans="1:13" ht="15" customHeight="1" x14ac:dyDescent="0.2">
      <c r="A338" s="14" t="s">
        <v>695</v>
      </c>
      <c r="B338" s="15">
        <v>12</v>
      </c>
      <c r="C338" s="16" t="s">
        <v>1841</v>
      </c>
      <c r="D338" s="14" t="s">
        <v>1842</v>
      </c>
      <c r="E338" s="17" t="s">
        <v>1293</v>
      </c>
      <c r="F338" s="18" t="s">
        <v>1843</v>
      </c>
      <c r="G338" s="18"/>
      <c r="H338" s="18" t="s">
        <v>547</v>
      </c>
      <c r="I338" s="14" t="s">
        <v>1294</v>
      </c>
      <c r="J338" s="18"/>
      <c r="K338" s="18"/>
      <c r="M338" s="20" t="str">
        <f t="shared" si="5"/>
        <v>Adenocarpus ombriosus</v>
      </c>
    </row>
    <row r="339" spans="1:13" s="50" customFormat="1" ht="15" customHeight="1" x14ac:dyDescent="0.2">
      <c r="A339" s="14" t="s">
        <v>695</v>
      </c>
      <c r="B339" s="25">
        <v>831</v>
      </c>
      <c r="C339" s="16" t="s">
        <v>1844</v>
      </c>
      <c r="D339" s="14" t="s">
        <v>1845</v>
      </c>
      <c r="E339" s="17" t="s">
        <v>1293</v>
      </c>
      <c r="F339" s="18" t="s">
        <v>1846</v>
      </c>
      <c r="G339" s="18"/>
      <c r="H339" s="18" t="s">
        <v>547</v>
      </c>
      <c r="I339" s="14" t="s">
        <v>1294</v>
      </c>
      <c r="J339" s="18"/>
      <c r="K339" s="18"/>
      <c r="M339" s="20" t="str">
        <f t="shared" si="5"/>
        <v>Aeonium balsamiferum</v>
      </c>
    </row>
    <row r="340" spans="1:13" ht="15" customHeight="1" x14ac:dyDescent="0.2">
      <c r="A340" s="14" t="s">
        <v>695</v>
      </c>
      <c r="B340" s="15">
        <v>832</v>
      </c>
      <c r="C340" s="16" t="s">
        <v>1847</v>
      </c>
      <c r="D340" s="14" t="s">
        <v>1848</v>
      </c>
      <c r="E340" s="17" t="s">
        <v>1293</v>
      </c>
      <c r="F340" s="18" t="s">
        <v>1849</v>
      </c>
      <c r="G340" s="18"/>
      <c r="H340" s="18" t="s">
        <v>547</v>
      </c>
      <c r="I340" s="14" t="s">
        <v>1294</v>
      </c>
      <c r="J340" s="18"/>
      <c r="K340" s="18"/>
      <c r="M340" s="20" t="str">
        <f t="shared" si="5"/>
        <v>Aeonium gomerense</v>
      </c>
    </row>
    <row r="341" spans="1:13" ht="15" customHeight="1" x14ac:dyDescent="0.2">
      <c r="A341" s="14" t="s">
        <v>695</v>
      </c>
      <c r="B341" s="15">
        <v>1163</v>
      </c>
      <c r="C341" s="16" t="s">
        <v>1850</v>
      </c>
      <c r="D341" s="14" t="s">
        <v>1851</v>
      </c>
      <c r="E341" s="17" t="s">
        <v>1293</v>
      </c>
      <c r="F341" s="18" t="s">
        <v>1852</v>
      </c>
      <c r="G341" s="18"/>
      <c r="H341" s="18" t="s">
        <v>547</v>
      </c>
      <c r="I341" s="14" t="s">
        <v>1294</v>
      </c>
      <c r="J341" s="18"/>
      <c r="K341" s="18"/>
      <c r="M341" s="20" t="str">
        <f t="shared" si="5"/>
        <v>Aeonium saundersii</v>
      </c>
    </row>
    <row r="342" spans="1:13" ht="15.75" customHeight="1" x14ac:dyDescent="0.2">
      <c r="A342" s="14" t="s">
        <v>695</v>
      </c>
      <c r="B342" s="15">
        <v>1719</v>
      </c>
      <c r="C342" s="16" t="s">
        <v>1853</v>
      </c>
      <c r="D342" s="14" t="s">
        <v>1854</v>
      </c>
      <c r="E342" s="17" t="s">
        <v>1293</v>
      </c>
      <c r="F342" s="18"/>
      <c r="G342" s="18"/>
      <c r="H342" s="18" t="s">
        <v>547</v>
      </c>
      <c r="I342" s="14" t="s">
        <v>1294</v>
      </c>
      <c r="J342" s="18"/>
      <c r="K342" s="18"/>
      <c r="M342" s="20" t="str">
        <f t="shared" si="5"/>
        <v>Allium grosii</v>
      </c>
    </row>
    <row r="343" spans="1:13" ht="15" customHeight="1" x14ac:dyDescent="0.2">
      <c r="A343" s="14" t="s">
        <v>695</v>
      </c>
      <c r="B343" s="15">
        <v>24299</v>
      </c>
      <c r="C343" s="16" t="s">
        <v>1855</v>
      </c>
      <c r="D343" s="30" t="s">
        <v>1856</v>
      </c>
      <c r="E343" s="17" t="s">
        <v>1293</v>
      </c>
      <c r="F343" s="18"/>
      <c r="G343" s="18"/>
      <c r="H343" s="18" t="s">
        <v>1300</v>
      </c>
      <c r="I343" s="14" t="s">
        <v>1294</v>
      </c>
      <c r="J343" s="18"/>
      <c r="K343" s="18"/>
      <c r="M343" s="20" t="str">
        <f t="shared" si="5"/>
        <v>Alyssum fastigiatum</v>
      </c>
    </row>
    <row r="344" spans="1:13" s="25" customFormat="1" ht="15" customHeight="1" x14ac:dyDescent="0.2">
      <c r="A344" s="15" t="s">
        <v>695</v>
      </c>
      <c r="B344" s="15">
        <v>11</v>
      </c>
      <c r="C344" s="21" t="s">
        <v>1857</v>
      </c>
      <c r="D344" s="15" t="s">
        <v>1858</v>
      </c>
      <c r="E344" s="23" t="s">
        <v>1293</v>
      </c>
      <c r="F344" s="24" t="s">
        <v>1859</v>
      </c>
      <c r="G344" s="24"/>
      <c r="H344" s="24" t="s">
        <v>1300</v>
      </c>
      <c r="I344" s="15" t="s">
        <v>1294</v>
      </c>
      <c r="J344" s="24"/>
      <c r="K344" s="24"/>
      <c r="M344" s="20" t="str">
        <f t="shared" si="5"/>
        <v>Anagyris latifolia</v>
      </c>
    </row>
    <row r="345" spans="1:13" s="25" customFormat="1" ht="15" customHeight="1" x14ac:dyDescent="0.2">
      <c r="A345" s="15" t="s">
        <v>695</v>
      </c>
      <c r="B345" s="15">
        <v>2137</v>
      </c>
      <c r="C345" s="21" t="s">
        <v>1860</v>
      </c>
      <c r="D345" s="22" t="s">
        <v>1861</v>
      </c>
      <c r="E345" s="23" t="s">
        <v>1293</v>
      </c>
      <c r="F345" s="24"/>
      <c r="G345" s="24"/>
      <c r="H345" s="24" t="s">
        <v>547</v>
      </c>
      <c r="I345" s="15" t="s">
        <v>1294</v>
      </c>
      <c r="J345" s="24"/>
      <c r="K345" s="24"/>
      <c r="M345" s="20" t="str">
        <f t="shared" si="5"/>
        <v>Androcymbium europaeum</v>
      </c>
    </row>
    <row r="346" spans="1:13" s="25" customFormat="1" ht="12.75" customHeight="1" x14ac:dyDescent="0.2">
      <c r="A346" s="15" t="s">
        <v>695</v>
      </c>
      <c r="B346" s="15">
        <v>2138</v>
      </c>
      <c r="C346" s="21" t="s">
        <v>1862</v>
      </c>
      <c r="D346" s="15" t="s">
        <v>1863</v>
      </c>
      <c r="E346" s="23" t="s">
        <v>1293</v>
      </c>
      <c r="F346" s="24" t="s">
        <v>1864</v>
      </c>
      <c r="G346" s="24"/>
      <c r="H346" s="24" t="s">
        <v>1300</v>
      </c>
      <c r="I346" s="15" t="s">
        <v>1294</v>
      </c>
      <c r="J346" s="24"/>
      <c r="K346" s="24"/>
      <c r="M346" s="20" t="str">
        <f t="shared" si="5"/>
        <v>Androcymbium hierrense</v>
      </c>
    </row>
    <row r="347" spans="1:13" ht="15" customHeight="1" x14ac:dyDescent="0.2">
      <c r="A347" s="14" t="s">
        <v>695</v>
      </c>
      <c r="B347" s="15">
        <v>2139</v>
      </c>
      <c r="C347" s="16" t="s">
        <v>1865</v>
      </c>
      <c r="D347" s="14" t="s">
        <v>1866</v>
      </c>
      <c r="E347" s="17" t="s">
        <v>1293</v>
      </c>
      <c r="F347" s="18" t="s">
        <v>1867</v>
      </c>
      <c r="G347" s="18"/>
      <c r="H347" s="18" t="s">
        <v>547</v>
      </c>
      <c r="I347" s="14" t="s">
        <v>1294</v>
      </c>
      <c r="J347" s="18"/>
      <c r="K347" s="18"/>
      <c r="M347" s="20" t="str">
        <f t="shared" si="5"/>
        <v>Androcymbium psammophilum</v>
      </c>
    </row>
    <row r="348" spans="1:13" ht="15" customHeight="1" x14ac:dyDescent="0.2">
      <c r="A348" s="14" t="s">
        <v>695</v>
      </c>
      <c r="B348" s="15">
        <v>2144</v>
      </c>
      <c r="C348" s="16" t="s">
        <v>1868</v>
      </c>
      <c r="D348" s="14" t="s">
        <v>1869</v>
      </c>
      <c r="E348" s="17" t="s">
        <v>1293</v>
      </c>
      <c r="F348" s="18"/>
      <c r="G348" s="18"/>
      <c r="H348" s="18" t="s">
        <v>547</v>
      </c>
      <c r="I348" s="14" t="s">
        <v>1294</v>
      </c>
      <c r="J348" s="18"/>
      <c r="K348" s="18"/>
      <c r="M348" s="20" t="str">
        <f t="shared" si="5"/>
        <v>Androsace cylindrica</v>
      </c>
    </row>
    <row r="349" spans="1:13" ht="15" customHeight="1" x14ac:dyDescent="0.2">
      <c r="A349" s="14" t="s">
        <v>695</v>
      </c>
      <c r="B349" s="15">
        <v>2155</v>
      </c>
      <c r="C349" s="16" t="s">
        <v>1870</v>
      </c>
      <c r="D349" s="14" t="s">
        <v>1871</v>
      </c>
      <c r="E349" s="17" t="s">
        <v>1293</v>
      </c>
      <c r="F349" s="18"/>
      <c r="G349" s="18"/>
      <c r="H349" s="18" t="s">
        <v>562</v>
      </c>
      <c r="I349" s="14" t="s">
        <v>1294</v>
      </c>
      <c r="J349" s="18"/>
      <c r="K349" s="18"/>
      <c r="M349" s="20" t="str">
        <f t="shared" si="5"/>
        <v>Androsace pyrenaica</v>
      </c>
    </row>
    <row r="350" spans="1:13" ht="15" customHeight="1" x14ac:dyDescent="0.2">
      <c r="A350" s="41" t="s">
        <v>695</v>
      </c>
      <c r="B350" s="51">
        <v>2156</v>
      </c>
      <c r="C350" s="52" t="s">
        <v>1872</v>
      </c>
      <c r="D350" s="53" t="s">
        <v>1873</v>
      </c>
      <c r="E350" s="54" t="s">
        <v>1293</v>
      </c>
      <c r="F350" s="55" t="s">
        <v>1874</v>
      </c>
      <c r="G350" s="45"/>
      <c r="H350" s="45" t="s">
        <v>1300</v>
      </c>
      <c r="I350" s="14" t="s">
        <v>1472</v>
      </c>
      <c r="J350" s="45"/>
      <c r="K350" s="45"/>
      <c r="M350" s="20" t="str">
        <f t="shared" si="5"/>
        <v>Androsace rioxana</v>
      </c>
    </row>
    <row r="351" spans="1:13" s="25" customFormat="1" ht="15" customHeight="1" x14ac:dyDescent="0.2">
      <c r="A351" s="15" t="s">
        <v>695</v>
      </c>
      <c r="B351" s="15">
        <v>2051</v>
      </c>
      <c r="C351" s="21" t="s">
        <v>1875</v>
      </c>
      <c r="D351" s="22" t="s">
        <v>1876</v>
      </c>
      <c r="E351" s="23" t="s">
        <v>1293</v>
      </c>
      <c r="F351" s="24"/>
      <c r="G351" s="24"/>
      <c r="H351" s="24" t="s">
        <v>547</v>
      </c>
      <c r="I351" s="15" t="s">
        <v>1294</v>
      </c>
      <c r="J351" s="24"/>
      <c r="K351" s="24"/>
      <c r="M351" s="20" t="str">
        <f t="shared" si="5"/>
        <v>Anthyllis hystrix</v>
      </c>
    </row>
    <row r="352" spans="1:13" s="25" customFormat="1" ht="15" customHeight="1" x14ac:dyDescent="0.2">
      <c r="A352" s="15" t="s">
        <v>695</v>
      </c>
      <c r="B352" s="15">
        <v>2067</v>
      </c>
      <c r="C352" s="21" t="s">
        <v>1238</v>
      </c>
      <c r="D352" s="15" t="s">
        <v>1877</v>
      </c>
      <c r="E352" s="23" t="s">
        <v>1293</v>
      </c>
      <c r="F352" s="24"/>
      <c r="G352" s="24"/>
      <c r="H352" s="24" t="s">
        <v>547</v>
      </c>
      <c r="I352" s="15" t="s">
        <v>1294</v>
      </c>
      <c r="J352" s="24"/>
      <c r="K352" s="24"/>
      <c r="M352" s="20" t="str">
        <f t="shared" si="5"/>
        <v>Antirrhinum charidemi</v>
      </c>
    </row>
    <row r="353" spans="1:13" s="25" customFormat="1" ht="15" customHeight="1" x14ac:dyDescent="0.2">
      <c r="A353" s="15" t="s">
        <v>695</v>
      </c>
      <c r="B353" s="15">
        <v>2205</v>
      </c>
      <c r="C353" s="21" t="s">
        <v>1878</v>
      </c>
      <c r="D353" s="15" t="s">
        <v>1879</v>
      </c>
      <c r="E353" s="23" t="s">
        <v>1293</v>
      </c>
      <c r="F353" s="24"/>
      <c r="G353" s="24"/>
      <c r="H353" s="24" t="s">
        <v>547</v>
      </c>
      <c r="I353" s="15" t="s">
        <v>1294</v>
      </c>
      <c r="J353" s="24"/>
      <c r="K353" s="30"/>
      <c r="M353" s="20" t="str">
        <f t="shared" si="5"/>
        <v>Anthirrhinum lopesianum</v>
      </c>
    </row>
    <row r="354" spans="1:13" s="25" customFormat="1" ht="15" customHeight="1" x14ac:dyDescent="0.2">
      <c r="A354" s="15" t="s">
        <v>695</v>
      </c>
      <c r="B354" s="15">
        <v>2230</v>
      </c>
      <c r="C354" s="21" t="s">
        <v>1880</v>
      </c>
      <c r="D354" s="22" t="s">
        <v>1881</v>
      </c>
      <c r="E354" s="23" t="s">
        <v>1293</v>
      </c>
      <c r="F354" s="24" t="s">
        <v>1882</v>
      </c>
      <c r="G354" s="24"/>
      <c r="H354" s="24" t="s">
        <v>1300</v>
      </c>
      <c r="I354" s="15" t="s">
        <v>1294</v>
      </c>
      <c r="J354" s="24"/>
      <c r="K354" s="24"/>
      <c r="M354" s="20" t="str">
        <f t="shared" si="5"/>
        <v>Apium bermejoi</v>
      </c>
    </row>
    <row r="355" spans="1:13" s="25" customFormat="1" ht="15" customHeight="1" x14ac:dyDescent="0.2">
      <c r="A355" s="15" t="s">
        <v>695</v>
      </c>
      <c r="B355" s="15">
        <v>2235</v>
      </c>
      <c r="C355" s="21" t="s">
        <v>1214</v>
      </c>
      <c r="D355" s="22" t="s">
        <v>1883</v>
      </c>
      <c r="E355" s="23" t="s">
        <v>1293</v>
      </c>
      <c r="F355" s="24"/>
      <c r="G355" s="24"/>
      <c r="H355" s="24" t="s">
        <v>547</v>
      </c>
      <c r="I355" s="15" t="s">
        <v>1294</v>
      </c>
      <c r="J355" s="24"/>
      <c r="K355" s="24"/>
      <c r="M355" s="20" t="str">
        <f t="shared" si="5"/>
        <v>Apium repens</v>
      </c>
    </row>
    <row r="356" spans="1:13" s="25" customFormat="1" ht="15" customHeight="1" x14ac:dyDescent="0.2">
      <c r="A356" s="15" t="s">
        <v>695</v>
      </c>
      <c r="B356" s="15">
        <v>24221</v>
      </c>
      <c r="C356" s="21" t="s">
        <v>1884</v>
      </c>
      <c r="D356" s="25" t="s">
        <v>1885</v>
      </c>
      <c r="E356" s="23" t="s">
        <v>1293</v>
      </c>
      <c r="F356" s="24"/>
      <c r="G356" s="24"/>
      <c r="H356" s="24" t="s">
        <v>1300</v>
      </c>
      <c r="I356" s="15" t="s">
        <v>1411</v>
      </c>
      <c r="J356" s="24"/>
      <c r="K356" s="24"/>
      <c r="M356" s="20" t="str">
        <f t="shared" si="5"/>
        <v>Aquilegia paui</v>
      </c>
    </row>
    <row r="357" spans="1:13" s="25" customFormat="1" ht="15" customHeight="1" x14ac:dyDescent="0.2">
      <c r="A357" s="15" t="s">
        <v>695</v>
      </c>
      <c r="B357" s="15">
        <v>2243</v>
      </c>
      <c r="C357" s="21" t="s">
        <v>1190</v>
      </c>
      <c r="D357" s="15" t="s">
        <v>1886</v>
      </c>
      <c r="E357" s="23" t="s">
        <v>1318</v>
      </c>
      <c r="F357" s="24" t="s">
        <v>1191</v>
      </c>
      <c r="G357" s="24"/>
      <c r="H357" s="24" t="s">
        <v>1300</v>
      </c>
      <c r="I357" s="15" t="s">
        <v>1294</v>
      </c>
      <c r="J357" s="24"/>
      <c r="K357" s="24"/>
      <c r="M357" s="20" t="str">
        <f t="shared" si="5"/>
        <v>Aquilegia pyrenaica subsp. cazorlensis</v>
      </c>
    </row>
    <row r="358" spans="1:13" s="25" customFormat="1" ht="15" customHeight="1" x14ac:dyDescent="0.2">
      <c r="A358" s="15" t="s">
        <v>695</v>
      </c>
      <c r="B358" s="15">
        <v>2296</v>
      </c>
      <c r="C358" s="21" t="s">
        <v>1198</v>
      </c>
      <c r="D358" s="15" t="s">
        <v>1887</v>
      </c>
      <c r="E358" s="23" t="s">
        <v>1293</v>
      </c>
      <c r="F358" s="24" t="s">
        <v>1199</v>
      </c>
      <c r="G358" s="24"/>
      <c r="H358" s="24" t="s">
        <v>547</v>
      </c>
      <c r="I358" s="15" t="s">
        <v>1294</v>
      </c>
      <c r="J358" s="24"/>
      <c r="K358" s="24"/>
      <c r="M358" s="20" t="str">
        <f t="shared" si="5"/>
        <v>Arenaria alfacarensis</v>
      </c>
    </row>
    <row r="359" spans="1:13" s="25" customFormat="1" ht="15" customHeight="1" x14ac:dyDescent="0.2">
      <c r="A359" s="15" t="s">
        <v>695</v>
      </c>
      <c r="B359" s="15">
        <v>2337</v>
      </c>
      <c r="C359" s="21" t="s">
        <v>1192</v>
      </c>
      <c r="D359" s="15" t="s">
        <v>1888</v>
      </c>
      <c r="E359" s="23" t="s">
        <v>1293</v>
      </c>
      <c r="F359" s="24" t="s">
        <v>1193</v>
      </c>
      <c r="G359" s="24"/>
      <c r="H359" s="24" t="s">
        <v>1300</v>
      </c>
      <c r="I359" s="15" t="s">
        <v>1294</v>
      </c>
      <c r="J359" s="24"/>
      <c r="K359" s="24"/>
      <c r="M359" s="20" t="str">
        <f t="shared" si="5"/>
        <v>Arenaria nevadensis</v>
      </c>
    </row>
    <row r="360" spans="1:13" s="25" customFormat="1" ht="15" customHeight="1" x14ac:dyDescent="0.2">
      <c r="A360" s="15" t="s">
        <v>695</v>
      </c>
      <c r="B360" s="15">
        <v>846</v>
      </c>
      <c r="C360" s="21" t="s">
        <v>1889</v>
      </c>
      <c r="D360" s="15" t="s">
        <v>1890</v>
      </c>
      <c r="E360" s="23" t="s">
        <v>1293</v>
      </c>
      <c r="F360" s="24" t="s">
        <v>1891</v>
      </c>
      <c r="G360" s="24"/>
      <c r="H360" s="24" t="s">
        <v>1300</v>
      </c>
      <c r="I360" s="15" t="s">
        <v>1294</v>
      </c>
      <c r="J360" s="24"/>
      <c r="K360" s="24"/>
      <c r="M360" s="20" t="str">
        <f t="shared" si="5"/>
        <v>Argyranthemum lidii</v>
      </c>
    </row>
    <row r="361" spans="1:13" s="25" customFormat="1" ht="15" customHeight="1" x14ac:dyDescent="0.2">
      <c r="A361" s="15" t="s">
        <v>695</v>
      </c>
      <c r="B361" s="15">
        <v>847</v>
      </c>
      <c r="C361" s="21" t="s">
        <v>1892</v>
      </c>
      <c r="D361" s="15" t="s">
        <v>1893</v>
      </c>
      <c r="E361" s="23" t="s">
        <v>1293</v>
      </c>
      <c r="F361" s="24" t="s">
        <v>1894</v>
      </c>
      <c r="G361" s="24"/>
      <c r="H361" s="24" t="s">
        <v>1300</v>
      </c>
      <c r="I361" s="15" t="s">
        <v>1294</v>
      </c>
      <c r="J361" s="24"/>
      <c r="K361" s="24"/>
      <c r="M361" s="20" t="str">
        <f t="shared" si="5"/>
        <v>Argyranthemum sundingii</v>
      </c>
    </row>
    <row r="362" spans="1:13" s="25" customFormat="1" ht="15" customHeight="1" x14ac:dyDescent="0.2">
      <c r="A362" s="15" t="s">
        <v>695</v>
      </c>
      <c r="B362" s="15">
        <v>850</v>
      </c>
      <c r="C362" s="21" t="s">
        <v>1895</v>
      </c>
      <c r="D362" s="15" t="s">
        <v>1896</v>
      </c>
      <c r="E362" s="23" t="s">
        <v>1293</v>
      </c>
      <c r="F362" s="24" t="s">
        <v>1897</v>
      </c>
      <c r="G362" s="24"/>
      <c r="H362" s="24" t="s">
        <v>562</v>
      </c>
      <c r="I362" s="15" t="s">
        <v>1294</v>
      </c>
      <c r="J362" s="24"/>
      <c r="K362" s="24"/>
      <c r="M362" s="20" t="str">
        <f t="shared" si="5"/>
        <v>Argyranthemum winteri</v>
      </c>
    </row>
    <row r="363" spans="1:13" s="25" customFormat="1" ht="15" customHeight="1" x14ac:dyDescent="0.2">
      <c r="A363" s="15" t="s">
        <v>695</v>
      </c>
      <c r="B363" s="15">
        <v>2460</v>
      </c>
      <c r="C363" s="21" t="s">
        <v>1898</v>
      </c>
      <c r="D363" s="15" t="s">
        <v>1899</v>
      </c>
      <c r="E363" s="23" t="s">
        <v>1293</v>
      </c>
      <c r="F363" s="24"/>
      <c r="G363" s="24"/>
      <c r="H363" s="24" t="s">
        <v>547</v>
      </c>
      <c r="I363" s="15" t="s">
        <v>1294</v>
      </c>
      <c r="J363" s="24"/>
      <c r="K363" s="24"/>
      <c r="M363" s="20" t="str">
        <f t="shared" si="5"/>
        <v>Armeria euscadiensis</v>
      </c>
    </row>
    <row r="364" spans="1:13" s="25" customFormat="1" ht="12.75" customHeight="1" x14ac:dyDescent="0.2">
      <c r="A364" s="15" t="s">
        <v>695</v>
      </c>
      <c r="B364" s="15">
        <v>2499</v>
      </c>
      <c r="C364" s="21" t="s">
        <v>1206</v>
      </c>
      <c r="D364" s="15" t="s">
        <v>1900</v>
      </c>
      <c r="E364" s="23" t="s">
        <v>1293</v>
      </c>
      <c r="F364" s="24"/>
      <c r="G364" s="24"/>
      <c r="H364" s="24" t="s">
        <v>547</v>
      </c>
      <c r="I364" s="15" t="s">
        <v>1294</v>
      </c>
      <c r="J364" s="24"/>
      <c r="K364" s="24"/>
      <c r="M364" s="20" t="str">
        <f t="shared" si="5"/>
        <v>Armeria velutina</v>
      </c>
    </row>
    <row r="365" spans="1:13" s="25" customFormat="1" ht="15" customHeight="1" x14ac:dyDescent="0.2">
      <c r="A365" s="15" t="s">
        <v>695</v>
      </c>
      <c r="B365" s="15">
        <v>9918</v>
      </c>
      <c r="C365" s="21" t="s">
        <v>1194</v>
      </c>
      <c r="D365" s="15" t="s">
        <v>1901</v>
      </c>
      <c r="E365" s="23" t="s">
        <v>1293</v>
      </c>
      <c r="F365" s="24" t="s">
        <v>1195</v>
      </c>
      <c r="G365" s="24"/>
      <c r="H365" s="24" t="s">
        <v>1300</v>
      </c>
      <c r="I365" s="15" t="s">
        <v>1294</v>
      </c>
      <c r="J365" s="24"/>
      <c r="K365" s="24"/>
      <c r="M365" s="20" t="str">
        <f t="shared" si="5"/>
        <v>Artemisia granatensis</v>
      </c>
    </row>
    <row r="366" spans="1:13" ht="15" customHeight="1" x14ac:dyDescent="0.2">
      <c r="A366" s="14" t="s">
        <v>695</v>
      </c>
      <c r="B366" s="15">
        <v>848</v>
      </c>
      <c r="C366" s="16" t="s">
        <v>1902</v>
      </c>
      <c r="D366" s="14" t="s">
        <v>1903</v>
      </c>
      <c r="E366" s="17" t="s">
        <v>1293</v>
      </c>
      <c r="F366" s="18" t="s">
        <v>1904</v>
      </c>
      <c r="G366" s="18"/>
      <c r="H366" s="18" t="s">
        <v>1300</v>
      </c>
      <c r="I366" s="14" t="s">
        <v>1294</v>
      </c>
      <c r="J366" s="18"/>
      <c r="K366" s="18"/>
      <c r="M366" s="20" t="str">
        <f t="shared" si="5"/>
        <v>Asparagus fallax</v>
      </c>
    </row>
    <row r="367" spans="1:13" ht="15" customHeight="1" x14ac:dyDescent="0.2">
      <c r="A367" s="14" t="s">
        <v>695</v>
      </c>
      <c r="B367" s="31">
        <v>33036</v>
      </c>
      <c r="C367" s="44" t="s">
        <v>1905</v>
      </c>
      <c r="D367" s="34" t="s">
        <v>1906</v>
      </c>
      <c r="E367" s="17" t="s">
        <v>1293</v>
      </c>
      <c r="F367" s="55" t="s">
        <v>1907</v>
      </c>
      <c r="G367" s="18"/>
      <c r="H367" s="18" t="s">
        <v>1300</v>
      </c>
      <c r="I367" s="14" t="s">
        <v>1472</v>
      </c>
      <c r="J367" s="18"/>
      <c r="K367" s="18"/>
      <c r="M367" s="20" t="str">
        <f t="shared" si="5"/>
        <v>Asparagus macrorrhizus</v>
      </c>
    </row>
    <row r="368" spans="1:13" ht="15" customHeight="1" x14ac:dyDescent="0.2">
      <c r="A368" s="14" t="s">
        <v>695</v>
      </c>
      <c r="B368" s="15">
        <v>2541</v>
      </c>
      <c r="C368" s="16" t="s">
        <v>1908</v>
      </c>
      <c r="D368" s="14" t="s">
        <v>1909</v>
      </c>
      <c r="E368" s="17" t="s">
        <v>1293</v>
      </c>
      <c r="F368" s="18" t="s">
        <v>1910</v>
      </c>
      <c r="G368" s="18"/>
      <c r="H368" s="18" t="s">
        <v>547</v>
      </c>
      <c r="I368" s="14" t="s">
        <v>1294</v>
      </c>
      <c r="J368" s="18"/>
      <c r="K368" s="18"/>
      <c r="M368" s="20" t="str">
        <f t="shared" si="5"/>
        <v>Asplenium hemionitis</v>
      </c>
    </row>
    <row r="369" spans="1:13" s="25" customFormat="1" ht="15" customHeight="1" x14ac:dyDescent="0.2">
      <c r="A369" s="15" t="s">
        <v>695</v>
      </c>
      <c r="B369" s="15">
        <v>852</v>
      </c>
      <c r="C369" s="21" t="s">
        <v>1911</v>
      </c>
      <c r="D369" s="15" t="s">
        <v>1912</v>
      </c>
      <c r="E369" s="23" t="s">
        <v>1293</v>
      </c>
      <c r="F369" s="24" t="s">
        <v>1913</v>
      </c>
      <c r="G369" s="24"/>
      <c r="H369" s="24" t="s">
        <v>1300</v>
      </c>
      <c r="I369" s="15" t="s">
        <v>1294</v>
      </c>
      <c r="J369" s="24"/>
      <c r="K369" s="24"/>
      <c r="M369" s="20" t="str">
        <f t="shared" si="5"/>
        <v>Aster pyrenaeus</v>
      </c>
    </row>
    <row r="370" spans="1:13" s="25" customFormat="1" ht="15" customHeight="1" x14ac:dyDescent="0.2">
      <c r="A370" s="15" t="s">
        <v>695</v>
      </c>
      <c r="B370" s="15">
        <v>2602</v>
      </c>
      <c r="C370" s="21" t="s">
        <v>1914</v>
      </c>
      <c r="D370" s="15" t="s">
        <v>1915</v>
      </c>
      <c r="E370" s="23" t="s">
        <v>1293</v>
      </c>
      <c r="F370" s="24"/>
      <c r="G370" s="24"/>
      <c r="H370" s="24" t="s">
        <v>1300</v>
      </c>
      <c r="I370" s="15" t="s">
        <v>1294</v>
      </c>
      <c r="J370" s="24"/>
      <c r="K370" s="24"/>
      <c r="M370" s="20" t="str">
        <f t="shared" si="5"/>
        <v>Astragalus nitidiflorus</v>
      </c>
    </row>
    <row r="371" spans="1:13" s="25" customFormat="1" ht="15" customHeight="1" x14ac:dyDescent="0.2">
      <c r="A371" s="15" t="s">
        <v>695</v>
      </c>
      <c r="B371" s="15">
        <v>2612</v>
      </c>
      <c r="C371" s="21" t="s">
        <v>1184</v>
      </c>
      <c r="D371" s="15" t="s">
        <v>1916</v>
      </c>
      <c r="E371" s="23" t="s">
        <v>1293</v>
      </c>
      <c r="F371" s="24"/>
      <c r="G371" s="24"/>
      <c r="H371" s="24" t="s">
        <v>547</v>
      </c>
      <c r="I371" s="15" t="s">
        <v>1294</v>
      </c>
      <c r="J371" s="24"/>
      <c r="K371" s="24"/>
      <c r="M371" s="20" t="str">
        <f t="shared" si="5"/>
        <v>Astragalus tremolsianus</v>
      </c>
    </row>
    <row r="372" spans="1:13" s="25" customFormat="1" ht="15" customHeight="1" x14ac:dyDescent="0.2">
      <c r="A372" s="15" t="s">
        <v>695</v>
      </c>
      <c r="B372" s="15">
        <v>855</v>
      </c>
      <c r="C372" s="21" t="s">
        <v>1917</v>
      </c>
      <c r="D372" s="15" t="s">
        <v>1918</v>
      </c>
      <c r="E372" s="23" t="s">
        <v>1293</v>
      </c>
      <c r="F372" s="24" t="s">
        <v>1919</v>
      </c>
      <c r="G372" s="24"/>
      <c r="H372" s="24" t="s">
        <v>1300</v>
      </c>
      <c r="I372" s="15" t="s">
        <v>1294</v>
      </c>
      <c r="J372" s="24"/>
      <c r="K372" s="24"/>
      <c r="M372" s="20" t="str">
        <f t="shared" si="5"/>
        <v>Atractylis arbuscula</v>
      </c>
    </row>
    <row r="373" spans="1:13" s="25" customFormat="1" ht="15" customHeight="1" x14ac:dyDescent="0.2">
      <c r="A373" s="15" t="s">
        <v>695</v>
      </c>
      <c r="B373" s="15">
        <v>856</v>
      </c>
      <c r="C373" s="21" t="s">
        <v>1920</v>
      </c>
      <c r="D373" s="15" t="s">
        <v>1921</v>
      </c>
      <c r="E373" s="23" t="s">
        <v>1293</v>
      </c>
      <c r="F373" s="24" t="s">
        <v>1922</v>
      </c>
      <c r="G373" s="24"/>
      <c r="H373" s="24" t="s">
        <v>1300</v>
      </c>
      <c r="I373" s="15" t="s">
        <v>1294</v>
      </c>
      <c r="J373" s="24"/>
      <c r="K373" s="24"/>
      <c r="M373" s="20" t="str">
        <f t="shared" si="5"/>
        <v>Atractylis preauxiana</v>
      </c>
    </row>
    <row r="374" spans="1:13" s="25" customFormat="1" ht="15" customHeight="1" x14ac:dyDescent="0.2">
      <c r="A374" s="15" t="s">
        <v>695</v>
      </c>
      <c r="B374" s="15">
        <v>2723</v>
      </c>
      <c r="C374" s="21" t="s">
        <v>1200</v>
      </c>
      <c r="D374" s="15" t="s">
        <v>1923</v>
      </c>
      <c r="E374" s="23" t="s">
        <v>1293</v>
      </c>
      <c r="F374" s="24" t="s">
        <v>1201</v>
      </c>
      <c r="G374" s="24"/>
      <c r="H374" s="24" t="s">
        <v>1300</v>
      </c>
      <c r="I374" s="15" t="s">
        <v>1294</v>
      </c>
      <c r="J374" s="24"/>
      <c r="K374" s="24"/>
      <c r="M374" s="20" t="str">
        <f t="shared" si="5"/>
        <v>Atropa baetica</v>
      </c>
    </row>
    <row r="375" spans="1:13" s="25" customFormat="1" ht="15" customHeight="1" x14ac:dyDescent="0.2">
      <c r="A375" s="15" t="s">
        <v>695</v>
      </c>
      <c r="B375" s="15">
        <v>1518</v>
      </c>
      <c r="C375" s="21" t="s">
        <v>1185</v>
      </c>
      <c r="D375" s="15" t="s">
        <v>1924</v>
      </c>
      <c r="E375" s="23" t="s">
        <v>1293</v>
      </c>
      <c r="F375" s="24" t="s">
        <v>1925</v>
      </c>
      <c r="G375" s="24"/>
      <c r="H375" s="24" t="s">
        <v>1300</v>
      </c>
      <c r="I375" s="15" t="s">
        <v>1682</v>
      </c>
      <c r="J375" s="24"/>
      <c r="K375" s="24"/>
      <c r="M375" s="20" t="str">
        <f t="shared" si="5"/>
        <v>Avellara fistulosa</v>
      </c>
    </row>
    <row r="376" spans="1:13" s="25" customFormat="1" ht="15" customHeight="1" x14ac:dyDescent="0.2">
      <c r="A376" s="15" t="s">
        <v>695</v>
      </c>
      <c r="B376" s="15">
        <v>860</v>
      </c>
      <c r="C376" s="21" t="s">
        <v>1926</v>
      </c>
      <c r="D376" s="15" t="s">
        <v>1927</v>
      </c>
      <c r="E376" s="23" t="s">
        <v>1293</v>
      </c>
      <c r="F376" s="24" t="s">
        <v>1928</v>
      </c>
      <c r="G376" s="24"/>
      <c r="H376" s="24" t="s">
        <v>1300</v>
      </c>
      <c r="I376" s="15" t="s">
        <v>1294</v>
      </c>
      <c r="J376" s="24"/>
      <c r="K376" s="24"/>
      <c r="M376" s="20" t="str">
        <f t="shared" si="5"/>
        <v>Bencomia brachystachya</v>
      </c>
    </row>
    <row r="377" spans="1:13" s="25" customFormat="1" ht="15" customHeight="1" x14ac:dyDescent="0.2">
      <c r="A377" s="15" t="s">
        <v>695</v>
      </c>
      <c r="B377" s="15">
        <v>861</v>
      </c>
      <c r="C377" s="21" t="s">
        <v>1929</v>
      </c>
      <c r="D377" s="15" t="s">
        <v>1930</v>
      </c>
      <c r="E377" s="23" t="s">
        <v>1293</v>
      </c>
      <c r="F377" s="24" t="s">
        <v>1931</v>
      </c>
      <c r="G377" s="24"/>
      <c r="H377" s="24" t="s">
        <v>1300</v>
      </c>
      <c r="I377" s="15" t="s">
        <v>1294</v>
      </c>
      <c r="J377" s="24"/>
      <c r="K377" s="24"/>
      <c r="M377" s="20" t="str">
        <f t="shared" si="5"/>
        <v>Bencomia exstipulata</v>
      </c>
    </row>
    <row r="378" spans="1:13" s="25" customFormat="1" ht="15" customHeight="1" x14ac:dyDescent="0.2">
      <c r="A378" s="15" t="s">
        <v>695</v>
      </c>
      <c r="B378" s="15">
        <v>862</v>
      </c>
      <c r="C378" s="21" t="s">
        <v>1932</v>
      </c>
      <c r="D378" s="15" t="s">
        <v>1933</v>
      </c>
      <c r="E378" s="23" t="s">
        <v>1293</v>
      </c>
      <c r="F378" s="24" t="s">
        <v>1934</v>
      </c>
      <c r="G378" s="24"/>
      <c r="H378" s="24" t="s">
        <v>1300</v>
      </c>
      <c r="I378" s="15" t="s">
        <v>1294</v>
      </c>
      <c r="J378" s="24"/>
      <c r="K378" s="24"/>
      <c r="M378" s="20" t="str">
        <f t="shared" si="5"/>
        <v>Bencomia sphaerocarpa</v>
      </c>
    </row>
    <row r="379" spans="1:13" s="25" customFormat="1" ht="15" customHeight="1" x14ac:dyDescent="0.2">
      <c r="A379" s="15" t="s">
        <v>695</v>
      </c>
      <c r="B379" s="15">
        <v>32074</v>
      </c>
      <c r="C379" s="21" t="s">
        <v>1935</v>
      </c>
      <c r="D379" s="15" t="s">
        <v>1936</v>
      </c>
      <c r="E379" s="23" t="s">
        <v>1293</v>
      </c>
      <c r="F379" s="29" t="s">
        <v>1937</v>
      </c>
      <c r="G379" s="24"/>
      <c r="H379" s="24" t="s">
        <v>547</v>
      </c>
      <c r="I379" s="15" t="s">
        <v>1294</v>
      </c>
      <c r="J379" s="24"/>
      <c r="K379" s="24"/>
      <c r="M379" s="20" t="str">
        <f t="shared" si="5"/>
        <v>Boleum asperum</v>
      </c>
    </row>
    <row r="380" spans="1:13" s="25" customFormat="1" ht="15" customHeight="1" x14ac:dyDescent="0.2">
      <c r="A380" s="15" t="s">
        <v>695</v>
      </c>
      <c r="B380" s="15">
        <v>2698</v>
      </c>
      <c r="C380" s="21" t="s">
        <v>1938</v>
      </c>
      <c r="D380" s="22" t="s">
        <v>1939</v>
      </c>
      <c r="E380" s="23" t="s">
        <v>1293</v>
      </c>
      <c r="F380" s="24"/>
      <c r="G380" s="24"/>
      <c r="H380" s="24" t="s">
        <v>1300</v>
      </c>
      <c r="I380" s="15" t="s">
        <v>1294</v>
      </c>
      <c r="J380" s="24"/>
      <c r="K380" s="24"/>
      <c r="M380" s="20" t="str">
        <f t="shared" si="5"/>
        <v>Borderea chouardii</v>
      </c>
    </row>
    <row r="381" spans="1:13" s="25" customFormat="1" ht="15" customHeight="1" x14ac:dyDescent="0.2">
      <c r="A381" s="15" t="s">
        <v>695</v>
      </c>
      <c r="B381" s="15">
        <v>2705</v>
      </c>
      <c r="C381" s="21" t="s">
        <v>1940</v>
      </c>
      <c r="D381" s="22" t="s">
        <v>1941</v>
      </c>
      <c r="E381" s="23" t="s">
        <v>1293</v>
      </c>
      <c r="F381" s="24"/>
      <c r="G381" s="24"/>
      <c r="H381" s="24" t="s">
        <v>1300</v>
      </c>
      <c r="I381" s="15" t="s">
        <v>1411</v>
      </c>
      <c r="J381" s="24"/>
      <c r="K381" s="24"/>
      <c r="M381" s="20" t="str">
        <f t="shared" si="5"/>
        <v>Botrychium matricariifolium</v>
      </c>
    </row>
    <row r="382" spans="1:13" ht="15" customHeight="1" x14ac:dyDescent="0.2">
      <c r="A382" s="14" t="s">
        <v>695</v>
      </c>
      <c r="B382" s="15">
        <v>23812</v>
      </c>
      <c r="C382" s="16" t="s">
        <v>1942</v>
      </c>
      <c r="D382" s="15" t="s">
        <v>1943</v>
      </c>
      <c r="E382" s="17" t="s">
        <v>1293</v>
      </c>
      <c r="F382" s="18"/>
      <c r="G382" s="18"/>
      <c r="H382" s="18" t="s">
        <v>547</v>
      </c>
      <c r="I382" s="14" t="s">
        <v>1294</v>
      </c>
      <c r="J382" s="18"/>
      <c r="K382" s="18"/>
      <c r="M382" s="20" t="str">
        <f t="shared" si="5"/>
        <v>Bruchia vogesiaca</v>
      </c>
    </row>
    <row r="383" spans="1:13" ht="15" customHeight="1" x14ac:dyDescent="0.2">
      <c r="A383" s="14" t="s">
        <v>695</v>
      </c>
      <c r="B383" s="15">
        <v>1055</v>
      </c>
      <c r="C383" s="16" t="s">
        <v>1944</v>
      </c>
      <c r="D383" s="15" t="s">
        <v>1945</v>
      </c>
      <c r="E383" s="17" t="s">
        <v>1293</v>
      </c>
      <c r="F383" s="18" t="s">
        <v>1946</v>
      </c>
      <c r="G383" s="18"/>
      <c r="H383" s="18" t="s">
        <v>547</v>
      </c>
      <c r="I383" s="14" t="s">
        <v>1294</v>
      </c>
      <c r="J383" s="18"/>
      <c r="K383" s="18"/>
      <c r="M383" s="20" t="str">
        <f t="shared" si="5"/>
        <v>Bupleurum handiense</v>
      </c>
    </row>
    <row r="384" spans="1:13" ht="13.5" customHeight="1" x14ac:dyDescent="0.2">
      <c r="A384" s="14" t="s">
        <v>695</v>
      </c>
      <c r="B384" s="15">
        <v>23853</v>
      </c>
      <c r="C384" s="16" t="s">
        <v>1947</v>
      </c>
      <c r="D384" s="15" t="s">
        <v>1948</v>
      </c>
      <c r="E384" s="17" t="s">
        <v>1293</v>
      </c>
      <c r="F384" s="18"/>
      <c r="G384" s="18"/>
      <c r="H384" s="18" t="s">
        <v>562</v>
      </c>
      <c r="I384" s="14" t="s">
        <v>1294</v>
      </c>
      <c r="J384" s="18"/>
      <c r="K384" s="18"/>
      <c r="M384" s="20" t="str">
        <f t="shared" si="5"/>
        <v>Buxbaumia viridis</v>
      </c>
    </row>
    <row r="385" spans="1:13" s="25" customFormat="1" ht="15" customHeight="1" x14ac:dyDescent="0.2">
      <c r="A385" s="15" t="s">
        <v>695</v>
      </c>
      <c r="B385" s="15">
        <v>1208</v>
      </c>
      <c r="C385" s="21" t="s">
        <v>1949</v>
      </c>
      <c r="D385" s="22" t="s">
        <v>1950</v>
      </c>
      <c r="E385" s="23" t="s">
        <v>1293</v>
      </c>
      <c r="F385" s="24" t="s">
        <v>1951</v>
      </c>
      <c r="G385" s="24"/>
      <c r="H385" s="24" t="s">
        <v>547</v>
      </c>
      <c r="I385" s="15" t="s">
        <v>1294</v>
      </c>
      <c r="J385" s="24"/>
      <c r="K385" s="24"/>
      <c r="M385" s="20" t="str">
        <f t="shared" si="5"/>
        <v>Caralluma burchardii</v>
      </c>
    </row>
    <row r="386" spans="1:13" s="25" customFormat="1" ht="15" customHeight="1" x14ac:dyDescent="0.2">
      <c r="A386" s="15" t="s">
        <v>695</v>
      </c>
      <c r="B386" s="15">
        <v>2899</v>
      </c>
      <c r="C386" s="21" t="s">
        <v>1952</v>
      </c>
      <c r="D386" s="15" t="s">
        <v>1953</v>
      </c>
      <c r="E386" s="23" t="s">
        <v>1293</v>
      </c>
      <c r="F386" s="24" t="s">
        <v>1954</v>
      </c>
      <c r="G386" s="24" t="s">
        <v>1955</v>
      </c>
      <c r="H386" s="24" t="s">
        <v>547</v>
      </c>
      <c r="I386" s="15" t="s">
        <v>1294</v>
      </c>
      <c r="J386" s="24"/>
      <c r="K386" s="24"/>
      <c r="M386" s="20" t="str">
        <f t="shared" si="5"/>
        <v>Carduncellus dianius</v>
      </c>
    </row>
    <row r="387" spans="1:13" s="25" customFormat="1" ht="13.5" customHeight="1" x14ac:dyDescent="0.2">
      <c r="A387" s="15" t="s">
        <v>695</v>
      </c>
      <c r="B387" s="15">
        <v>2916</v>
      </c>
      <c r="C387" s="21" t="s">
        <v>1241</v>
      </c>
      <c r="D387" s="15" t="s">
        <v>1956</v>
      </c>
      <c r="E387" s="23" t="s">
        <v>1293</v>
      </c>
      <c r="F387" s="24"/>
      <c r="G387" s="24"/>
      <c r="H387" s="24" t="s">
        <v>547</v>
      </c>
      <c r="I387" s="15" t="s">
        <v>1294</v>
      </c>
      <c r="J387" s="24"/>
      <c r="K387" s="24"/>
      <c r="M387" s="20" t="str">
        <f t="shared" ref="M387:M450" si="6">TRIM(C387)</f>
        <v>Carduus myriacanthus</v>
      </c>
    </row>
    <row r="388" spans="1:13" s="25" customFormat="1" ht="15" customHeight="1" x14ac:dyDescent="0.2">
      <c r="A388" s="15" t="s">
        <v>695</v>
      </c>
      <c r="B388" s="15">
        <v>12470</v>
      </c>
      <c r="C388" s="21" t="s">
        <v>1957</v>
      </c>
      <c r="D388" s="56" t="s">
        <v>1958</v>
      </c>
      <c r="E388" s="23" t="s">
        <v>1293</v>
      </c>
      <c r="F388" s="24"/>
      <c r="G388" s="24" t="s">
        <v>1774</v>
      </c>
      <c r="H388" s="24" t="s">
        <v>547</v>
      </c>
      <c r="I388" s="15" t="s">
        <v>1294</v>
      </c>
      <c r="J388" s="24"/>
      <c r="K388" s="24"/>
      <c r="M388" s="20" t="str">
        <f t="shared" si="6"/>
        <v>Caulerpa ollivieri</v>
      </c>
    </row>
    <row r="389" spans="1:13" s="25" customFormat="1" ht="15" customHeight="1" x14ac:dyDescent="0.2">
      <c r="A389" s="15" t="s">
        <v>695</v>
      </c>
      <c r="B389" s="15">
        <v>3218</v>
      </c>
      <c r="C389" s="21" t="s">
        <v>1959</v>
      </c>
      <c r="D389" s="15" t="s">
        <v>1960</v>
      </c>
      <c r="E389" s="23" t="s">
        <v>1293</v>
      </c>
      <c r="F389" s="24" t="s">
        <v>1961</v>
      </c>
      <c r="G389" s="24"/>
      <c r="H389" s="24" t="s">
        <v>547</v>
      </c>
      <c r="I389" s="15" t="s">
        <v>1294</v>
      </c>
      <c r="J389" s="24"/>
      <c r="K389" s="24"/>
      <c r="M389" s="20" t="str">
        <f t="shared" si="6"/>
        <v>Centaurea avilae</v>
      </c>
    </row>
    <row r="390" spans="1:13" s="25" customFormat="1" ht="15" customHeight="1" x14ac:dyDescent="0.2">
      <c r="A390" s="15" t="s">
        <v>695</v>
      </c>
      <c r="B390" s="15">
        <v>3235</v>
      </c>
      <c r="C390" s="21" t="s">
        <v>1962</v>
      </c>
      <c r="D390" s="15" t="s">
        <v>1963</v>
      </c>
      <c r="E390" s="23" t="s">
        <v>1293</v>
      </c>
      <c r="F390" s="24"/>
      <c r="G390" s="24"/>
      <c r="H390" s="24" t="s">
        <v>1300</v>
      </c>
      <c r="I390" s="15" t="s">
        <v>1294</v>
      </c>
      <c r="J390" s="24"/>
      <c r="K390" s="24"/>
      <c r="M390" s="20" t="str">
        <f t="shared" si="6"/>
        <v>Centaurea borjae</v>
      </c>
    </row>
    <row r="391" spans="1:13" s="25" customFormat="1" ht="15" customHeight="1" x14ac:dyDescent="0.2">
      <c r="A391" s="15" t="s">
        <v>695</v>
      </c>
      <c r="B391" s="15">
        <v>3243</v>
      </c>
      <c r="C391" s="21" t="s">
        <v>1212</v>
      </c>
      <c r="D391" s="15" t="s">
        <v>1964</v>
      </c>
      <c r="E391" s="23" t="s">
        <v>1293</v>
      </c>
      <c r="F391" s="24"/>
      <c r="G391" s="24"/>
      <c r="H391" s="24" t="s">
        <v>547</v>
      </c>
      <c r="I391" s="15" t="s">
        <v>1294</v>
      </c>
      <c r="J391" s="24"/>
      <c r="K391" s="24"/>
      <c r="M391" s="20" t="str">
        <f t="shared" si="6"/>
        <v>Centaurea citricolor</v>
      </c>
    </row>
    <row r="392" spans="1:13" s="25" customFormat="1" ht="15" customHeight="1" x14ac:dyDescent="0.2">
      <c r="A392" s="15" t="s">
        <v>695</v>
      </c>
      <c r="B392" s="15">
        <v>3263</v>
      </c>
      <c r="C392" s="21" t="s">
        <v>1242</v>
      </c>
      <c r="D392" s="15" t="s">
        <v>1965</v>
      </c>
      <c r="E392" s="23" t="s">
        <v>1293</v>
      </c>
      <c r="F392" s="24"/>
      <c r="G392" s="24"/>
      <c r="H392" s="24" t="s">
        <v>547</v>
      </c>
      <c r="I392" s="15" t="s">
        <v>1294</v>
      </c>
      <c r="J392" s="24"/>
      <c r="K392" s="24"/>
      <c r="M392" s="20" t="str">
        <f t="shared" si="6"/>
        <v>Centaurea gadorensis</v>
      </c>
    </row>
    <row r="393" spans="1:13" s="25" customFormat="1" ht="15" customHeight="1" x14ac:dyDescent="0.2">
      <c r="A393" s="15" t="s">
        <v>695</v>
      </c>
      <c r="B393" s="15">
        <v>3319</v>
      </c>
      <c r="C393" s="21" t="s">
        <v>1966</v>
      </c>
      <c r="D393" s="15" t="s">
        <v>1967</v>
      </c>
      <c r="E393" s="23" t="s">
        <v>1293</v>
      </c>
      <c r="F393" s="24"/>
      <c r="G393" s="24"/>
      <c r="H393" s="24" t="s">
        <v>547</v>
      </c>
      <c r="I393" s="15" t="s">
        <v>1294</v>
      </c>
      <c r="J393" s="24"/>
      <c r="K393" s="24"/>
      <c r="M393" s="20" t="str">
        <f t="shared" si="6"/>
        <v>Centaurea boissieri subsp. spachii</v>
      </c>
    </row>
    <row r="394" spans="1:13" s="25" customFormat="1" ht="15" customHeight="1" x14ac:dyDescent="0.2">
      <c r="A394" s="15" t="s">
        <v>695</v>
      </c>
      <c r="B394" s="15">
        <v>3326</v>
      </c>
      <c r="C394" s="21" t="s">
        <v>1968</v>
      </c>
      <c r="D394" s="15" t="s">
        <v>1969</v>
      </c>
      <c r="E394" s="23" t="s">
        <v>1293</v>
      </c>
      <c r="F394" s="24"/>
      <c r="G394" s="24"/>
      <c r="H394" s="24" t="s">
        <v>547</v>
      </c>
      <c r="I394" s="15" t="s">
        <v>1294</v>
      </c>
      <c r="J394" s="24"/>
      <c r="K394" s="24"/>
      <c r="M394" s="20" t="str">
        <f t="shared" si="6"/>
        <v>Centaurea pulvinata</v>
      </c>
    </row>
    <row r="395" spans="1:13" s="25" customFormat="1" ht="15" customHeight="1" x14ac:dyDescent="0.2">
      <c r="A395" s="15" t="s">
        <v>695</v>
      </c>
      <c r="B395" s="15">
        <v>3360</v>
      </c>
      <c r="C395" s="21" t="s">
        <v>1970</v>
      </c>
      <c r="D395" s="22" t="s">
        <v>1971</v>
      </c>
      <c r="E395" s="23" t="s">
        <v>1318</v>
      </c>
      <c r="F395" s="24"/>
      <c r="G395" s="24"/>
      <c r="H395" s="24" t="s">
        <v>547</v>
      </c>
      <c r="I395" s="15" t="s">
        <v>1294</v>
      </c>
      <c r="J395" s="24"/>
      <c r="K395" s="24"/>
      <c r="M395" s="20" t="str">
        <f t="shared" si="6"/>
        <v>Centaurium rigualii</v>
      </c>
    </row>
    <row r="396" spans="1:13" s="25" customFormat="1" ht="15" customHeight="1" x14ac:dyDescent="0.2">
      <c r="A396" s="15" t="s">
        <v>695</v>
      </c>
      <c r="B396" s="15">
        <v>3364</v>
      </c>
      <c r="C396" s="21" t="s">
        <v>1972</v>
      </c>
      <c r="D396" s="15" t="s">
        <v>1973</v>
      </c>
      <c r="E396" s="23" t="s">
        <v>1293</v>
      </c>
      <c r="F396" s="24" t="s">
        <v>1974</v>
      </c>
      <c r="G396" s="24"/>
      <c r="H396" s="24" t="s">
        <v>562</v>
      </c>
      <c r="I396" s="15" t="s">
        <v>1975</v>
      </c>
      <c r="J396" s="24" t="s">
        <v>1976</v>
      </c>
      <c r="K396" s="30"/>
      <c r="M396" s="20" t="str">
        <f t="shared" si="6"/>
        <v>Centaurium somedanum</v>
      </c>
    </row>
    <row r="397" spans="1:13" ht="15" customHeight="1" x14ac:dyDescent="0.2">
      <c r="A397" s="14" t="s">
        <v>695</v>
      </c>
      <c r="B397" s="15">
        <v>3427</v>
      </c>
      <c r="C397" s="16" t="s">
        <v>1977</v>
      </c>
      <c r="D397" s="14" t="s">
        <v>1978</v>
      </c>
      <c r="E397" s="17" t="s">
        <v>1293</v>
      </c>
      <c r="F397" s="18"/>
      <c r="G397" s="18"/>
      <c r="H397" s="18" t="s">
        <v>1300</v>
      </c>
      <c r="I397" s="14" t="s">
        <v>1411</v>
      </c>
      <c r="J397" s="18"/>
      <c r="K397" s="18"/>
      <c r="M397" s="20" t="str">
        <f t="shared" si="6"/>
        <v>Cerinthe glabra</v>
      </c>
    </row>
    <row r="398" spans="1:13" ht="15" customHeight="1" x14ac:dyDescent="0.2">
      <c r="A398" s="14" t="s">
        <v>695</v>
      </c>
      <c r="B398" s="15">
        <v>866</v>
      </c>
      <c r="C398" s="16" t="s">
        <v>1979</v>
      </c>
      <c r="D398" s="15" t="s">
        <v>1980</v>
      </c>
      <c r="E398" s="17" t="s">
        <v>1318</v>
      </c>
      <c r="F398" s="18"/>
      <c r="G398" s="18"/>
      <c r="H398" s="18" t="s">
        <v>547</v>
      </c>
      <c r="I398" s="14" t="s">
        <v>1294</v>
      </c>
      <c r="J398" s="18"/>
      <c r="K398" s="18"/>
      <c r="M398" s="20" t="str">
        <f t="shared" si="6"/>
        <v>Ceropegia chrysantha</v>
      </c>
    </row>
    <row r="399" spans="1:13" ht="15" customHeight="1" x14ac:dyDescent="0.2">
      <c r="A399" s="14" t="s">
        <v>695</v>
      </c>
      <c r="B399" s="15">
        <v>866</v>
      </c>
      <c r="C399" s="16" t="s">
        <v>1981</v>
      </c>
      <c r="D399" s="15" t="s">
        <v>1980</v>
      </c>
      <c r="E399" s="17" t="s">
        <v>1318</v>
      </c>
      <c r="F399" s="18" t="s">
        <v>1982</v>
      </c>
      <c r="G399" s="18"/>
      <c r="H399" s="18" t="s">
        <v>547</v>
      </c>
      <c r="I399" s="14" t="s">
        <v>1294</v>
      </c>
      <c r="J399" s="18"/>
      <c r="K399" s="18"/>
      <c r="M399" s="20" t="str">
        <f t="shared" si="6"/>
        <v>Ceropegia dichotoma subsp. krainzii</v>
      </c>
    </row>
    <row r="400" spans="1:13" ht="15" customHeight="1" x14ac:dyDescent="0.2">
      <c r="A400" s="14" t="s">
        <v>695</v>
      </c>
      <c r="B400" s="15">
        <v>875</v>
      </c>
      <c r="C400" s="16" t="s">
        <v>1983</v>
      </c>
      <c r="D400" s="15" t="s">
        <v>1984</v>
      </c>
      <c r="E400" s="17" t="s">
        <v>1293</v>
      </c>
      <c r="F400" s="18" t="s">
        <v>1985</v>
      </c>
      <c r="G400" s="18"/>
      <c r="H400" s="18" t="s">
        <v>1300</v>
      </c>
      <c r="I400" s="14" t="s">
        <v>1294</v>
      </c>
      <c r="J400" s="18"/>
      <c r="K400" s="18"/>
      <c r="M400" s="20" t="str">
        <f t="shared" si="6"/>
        <v>Cheirolophus duranii</v>
      </c>
    </row>
    <row r="401" spans="1:13" ht="14.25" customHeight="1" x14ac:dyDescent="0.2">
      <c r="A401" s="14" t="s">
        <v>695</v>
      </c>
      <c r="B401" s="15">
        <v>876</v>
      </c>
      <c r="C401" s="16" t="s">
        <v>1986</v>
      </c>
      <c r="D401" s="15" t="s">
        <v>1987</v>
      </c>
      <c r="E401" s="17" t="s">
        <v>1293</v>
      </c>
      <c r="F401" s="18" t="s">
        <v>1988</v>
      </c>
      <c r="G401" s="18"/>
      <c r="H401" s="18" t="s">
        <v>1300</v>
      </c>
      <c r="I401" s="14" t="s">
        <v>1294</v>
      </c>
      <c r="J401" s="18"/>
      <c r="K401" s="18"/>
      <c r="M401" s="20" t="str">
        <f t="shared" si="6"/>
        <v>Cheirolophus falcisectus</v>
      </c>
    </row>
    <row r="402" spans="1:13" ht="12.75" customHeight="1" x14ac:dyDescent="0.2">
      <c r="A402" s="14" t="s">
        <v>695</v>
      </c>
      <c r="B402" s="15">
        <v>1237</v>
      </c>
      <c r="C402" s="16" t="s">
        <v>1989</v>
      </c>
      <c r="D402" s="57" t="s">
        <v>1990</v>
      </c>
      <c r="E402" s="17" t="s">
        <v>1293</v>
      </c>
      <c r="F402" s="18" t="s">
        <v>1991</v>
      </c>
      <c r="G402" s="18"/>
      <c r="H402" s="18" t="s">
        <v>562</v>
      </c>
      <c r="I402" s="14" t="s">
        <v>1294</v>
      </c>
      <c r="J402" s="18"/>
      <c r="K402" s="18"/>
      <c r="M402" s="20" t="str">
        <f t="shared" si="6"/>
        <v>Cheirolophus ghomerytus</v>
      </c>
    </row>
    <row r="403" spans="1:13" ht="15" customHeight="1" x14ac:dyDescent="0.2">
      <c r="A403" s="14" t="s">
        <v>695</v>
      </c>
      <c r="B403" s="15">
        <v>877</v>
      </c>
      <c r="C403" s="16" t="s">
        <v>1992</v>
      </c>
      <c r="D403" s="14" t="s">
        <v>1993</v>
      </c>
      <c r="E403" s="17" t="s">
        <v>1293</v>
      </c>
      <c r="F403" s="18" t="s">
        <v>1994</v>
      </c>
      <c r="G403" s="18"/>
      <c r="H403" s="18" t="s">
        <v>547</v>
      </c>
      <c r="I403" s="14" t="s">
        <v>1294</v>
      </c>
      <c r="J403" s="18"/>
      <c r="K403" s="18"/>
      <c r="M403" s="20" t="str">
        <f t="shared" si="6"/>
        <v>Cheirolophus junonianus</v>
      </c>
    </row>
    <row r="404" spans="1:13" ht="15" customHeight="1" x14ac:dyDescent="0.2">
      <c r="A404" s="14" t="s">
        <v>695</v>
      </c>
      <c r="B404" s="15">
        <v>878</v>
      </c>
      <c r="C404" s="16" t="s">
        <v>1995</v>
      </c>
      <c r="D404" s="14" t="s">
        <v>1996</v>
      </c>
      <c r="E404" s="17" t="s">
        <v>1293</v>
      </c>
      <c r="F404" s="18" t="s">
        <v>1997</v>
      </c>
      <c r="G404" s="18"/>
      <c r="H404" s="18" t="s">
        <v>1300</v>
      </c>
      <c r="I404" s="14" t="s">
        <v>1294</v>
      </c>
      <c r="J404" s="18"/>
      <c r="K404" s="18"/>
      <c r="M404" s="20" t="str">
        <f t="shared" si="6"/>
        <v>Cheirolophus metlesicsii</v>
      </c>
    </row>
    <row r="405" spans="1:13" ht="15" customHeight="1" x14ac:dyDescent="0.2">
      <c r="A405" s="14" t="s">
        <v>695</v>
      </c>
      <c r="B405" s="15">
        <v>868</v>
      </c>
      <c r="C405" s="16" t="s">
        <v>1998</v>
      </c>
      <c r="D405" s="14" t="s">
        <v>1999</v>
      </c>
      <c r="E405" s="17" t="s">
        <v>1293</v>
      </c>
      <c r="F405" s="18" t="s">
        <v>2000</v>
      </c>
      <c r="G405" s="18"/>
      <c r="H405" s="18" t="s">
        <v>1300</v>
      </c>
      <c r="I405" s="14" t="s">
        <v>1294</v>
      </c>
      <c r="J405" s="18"/>
      <c r="K405" s="18"/>
      <c r="M405" s="20" t="str">
        <f t="shared" si="6"/>
        <v>Cheirolophus santos-abreui</v>
      </c>
    </row>
    <row r="406" spans="1:13" ht="15" customHeight="1" x14ac:dyDescent="0.2">
      <c r="A406" s="14" t="s">
        <v>695</v>
      </c>
      <c r="B406" s="15">
        <v>1229</v>
      </c>
      <c r="C406" s="16" t="s">
        <v>2001</v>
      </c>
      <c r="D406" s="14" t="s">
        <v>2002</v>
      </c>
      <c r="E406" s="17" t="s">
        <v>1293</v>
      </c>
      <c r="F406" s="18" t="s">
        <v>2003</v>
      </c>
      <c r="G406" s="18"/>
      <c r="H406" s="18" t="s">
        <v>547</v>
      </c>
      <c r="I406" s="14" t="s">
        <v>1294</v>
      </c>
      <c r="J406" s="18"/>
      <c r="K406" s="18"/>
      <c r="M406" s="20" t="str">
        <f t="shared" si="6"/>
        <v>Cheirolophus satarataensis</v>
      </c>
    </row>
    <row r="407" spans="1:13" ht="15" customHeight="1" x14ac:dyDescent="0.2">
      <c r="A407" s="14" t="s">
        <v>695</v>
      </c>
      <c r="B407" s="15">
        <v>157</v>
      </c>
      <c r="C407" s="16" t="s">
        <v>2004</v>
      </c>
      <c r="D407" s="14" t="s">
        <v>2005</v>
      </c>
      <c r="E407" s="17" t="s">
        <v>1318</v>
      </c>
      <c r="F407" s="18" t="s">
        <v>2006</v>
      </c>
      <c r="G407" s="18"/>
      <c r="H407" s="18" t="s">
        <v>1300</v>
      </c>
      <c r="I407" s="14" t="s">
        <v>1294</v>
      </c>
      <c r="J407" s="18"/>
      <c r="K407" s="18"/>
      <c r="M407" s="20" t="str">
        <f t="shared" si="6"/>
        <v>Cheirolophus sventenii subsp. gracilis</v>
      </c>
    </row>
    <row r="408" spans="1:13" ht="15" customHeight="1" x14ac:dyDescent="0.2">
      <c r="A408" s="14" t="s">
        <v>695</v>
      </c>
      <c r="B408" s="15">
        <v>871</v>
      </c>
      <c r="C408" s="16" t="s">
        <v>2007</v>
      </c>
      <c r="D408" s="14" t="s">
        <v>2008</v>
      </c>
      <c r="E408" s="17" t="s">
        <v>1293</v>
      </c>
      <c r="F408" s="18" t="s">
        <v>2009</v>
      </c>
      <c r="G408" s="18"/>
      <c r="H408" s="18" t="s">
        <v>547</v>
      </c>
      <c r="I408" s="14" t="s">
        <v>1294</v>
      </c>
      <c r="J408" s="18"/>
      <c r="K408" s="18"/>
      <c r="M408" s="20" t="str">
        <f t="shared" si="6"/>
        <v>Cheirolophus tagananensis</v>
      </c>
    </row>
    <row r="409" spans="1:13" ht="15" customHeight="1" x14ac:dyDescent="0.2">
      <c r="A409" s="14" t="s">
        <v>695</v>
      </c>
      <c r="B409" s="15">
        <v>3556</v>
      </c>
      <c r="C409" s="16" t="s">
        <v>1202</v>
      </c>
      <c r="D409" s="14" t="s">
        <v>2010</v>
      </c>
      <c r="E409" s="17" t="s">
        <v>1293</v>
      </c>
      <c r="F409" s="18" t="s">
        <v>2011</v>
      </c>
      <c r="G409" s="18"/>
      <c r="H409" s="18" t="s">
        <v>1300</v>
      </c>
      <c r="I409" s="14" t="s">
        <v>1294</v>
      </c>
      <c r="J409" s="18"/>
      <c r="K409" s="18"/>
      <c r="M409" s="20" t="str">
        <f t="shared" si="6"/>
        <v>Christella dentata</v>
      </c>
    </row>
    <row r="410" spans="1:13" ht="15" customHeight="1" x14ac:dyDescent="0.2">
      <c r="A410" s="14" t="s">
        <v>695</v>
      </c>
      <c r="B410" s="15">
        <v>1239</v>
      </c>
      <c r="C410" s="16" t="s">
        <v>2012</v>
      </c>
      <c r="D410" s="15" t="s">
        <v>2013</v>
      </c>
      <c r="E410" s="17" t="s">
        <v>1293</v>
      </c>
      <c r="F410" s="24" t="s">
        <v>2014</v>
      </c>
      <c r="G410" s="18"/>
      <c r="H410" s="18" t="s">
        <v>562</v>
      </c>
      <c r="I410" s="14" t="s">
        <v>1294</v>
      </c>
      <c r="J410" s="18"/>
      <c r="K410" s="18"/>
      <c r="M410" s="20" t="str">
        <f t="shared" si="6"/>
        <v>Cicer canariensis</v>
      </c>
    </row>
    <row r="411" spans="1:13" s="25" customFormat="1" ht="15" customHeight="1" x14ac:dyDescent="0.2">
      <c r="A411" s="15" t="s">
        <v>695</v>
      </c>
      <c r="B411" s="15">
        <v>1240</v>
      </c>
      <c r="C411" s="21" t="s">
        <v>2015</v>
      </c>
      <c r="D411" s="15" t="s">
        <v>2016</v>
      </c>
      <c r="E411" s="23" t="s">
        <v>1293</v>
      </c>
      <c r="F411" s="24" t="s">
        <v>2017</v>
      </c>
      <c r="G411" s="24"/>
      <c r="H411" s="24" t="s">
        <v>547</v>
      </c>
      <c r="I411" s="15" t="s">
        <v>1294</v>
      </c>
      <c r="J411" s="24"/>
      <c r="K411" s="24"/>
      <c r="M411" s="20" t="str">
        <f t="shared" si="6"/>
        <v>Cistus chinamadensis</v>
      </c>
    </row>
    <row r="412" spans="1:13" s="25" customFormat="1" ht="15" customHeight="1" x14ac:dyDescent="0.2">
      <c r="A412" s="15" t="s">
        <v>695</v>
      </c>
      <c r="B412" s="15">
        <v>3616</v>
      </c>
      <c r="C412" s="21" t="s">
        <v>2018</v>
      </c>
      <c r="D412" s="15" t="s">
        <v>2019</v>
      </c>
      <c r="E412" s="23" t="s">
        <v>1318</v>
      </c>
      <c r="F412" s="24" t="s">
        <v>2020</v>
      </c>
      <c r="G412" s="24"/>
      <c r="H412" s="24" t="s">
        <v>1300</v>
      </c>
      <c r="I412" s="15" t="s">
        <v>1294</v>
      </c>
      <c r="J412" s="24"/>
      <c r="K412" s="24"/>
      <c r="M412" s="20" t="str">
        <f t="shared" si="6"/>
        <v>Cistus heterophyllus (= C.h.carthaginensis)</v>
      </c>
    </row>
    <row r="413" spans="1:13" s="25" customFormat="1" ht="15" customHeight="1" x14ac:dyDescent="0.2">
      <c r="A413" s="15" t="s">
        <v>695</v>
      </c>
      <c r="B413" s="15">
        <v>1716</v>
      </c>
      <c r="C413" s="21" t="s">
        <v>2021</v>
      </c>
      <c r="D413" s="15" t="s">
        <v>2022</v>
      </c>
      <c r="E413" s="23" t="s">
        <v>1318</v>
      </c>
      <c r="F413" s="24"/>
      <c r="G413" s="24"/>
      <c r="H413" s="24" t="s">
        <v>1300</v>
      </c>
      <c r="I413" s="15" t="s">
        <v>1294</v>
      </c>
      <c r="J413" s="24"/>
      <c r="K413" s="24"/>
      <c r="M413" s="20" t="str">
        <f t="shared" si="6"/>
        <v>Coincya rupestris subsp. rupestris</v>
      </c>
    </row>
    <row r="414" spans="1:13" s="25" customFormat="1" ht="15" customHeight="1" x14ac:dyDescent="0.2">
      <c r="A414" s="15" t="s">
        <v>695</v>
      </c>
      <c r="B414" s="15">
        <v>880</v>
      </c>
      <c r="C414" s="21" t="s">
        <v>2023</v>
      </c>
      <c r="D414" s="15" t="s">
        <v>2024</v>
      </c>
      <c r="E414" s="23" t="s">
        <v>1293</v>
      </c>
      <c r="F414" s="24" t="s">
        <v>2025</v>
      </c>
      <c r="G414" s="24"/>
      <c r="H414" s="24" t="s">
        <v>547</v>
      </c>
      <c r="I414" s="15" t="s">
        <v>1294</v>
      </c>
      <c r="J414" s="24"/>
      <c r="K414" s="24"/>
      <c r="M414" s="20" t="str">
        <f t="shared" si="6"/>
        <v>Convolvulus caput-medusae</v>
      </c>
    </row>
    <row r="415" spans="1:13" s="25" customFormat="1" ht="15" customHeight="1" x14ac:dyDescent="0.2">
      <c r="A415" s="15" t="s">
        <v>695</v>
      </c>
      <c r="B415" s="15">
        <v>881</v>
      </c>
      <c r="C415" s="21" t="s">
        <v>2026</v>
      </c>
      <c r="D415" s="15" t="s">
        <v>2027</v>
      </c>
      <c r="E415" s="23" t="s">
        <v>1293</v>
      </c>
      <c r="F415" s="24" t="s">
        <v>2028</v>
      </c>
      <c r="G415" s="24"/>
      <c r="H415" s="24" t="s">
        <v>562</v>
      </c>
      <c r="I415" s="15" t="s">
        <v>1294</v>
      </c>
      <c r="J415" s="24"/>
      <c r="K415" s="24"/>
      <c r="M415" s="20" t="str">
        <f t="shared" si="6"/>
        <v>Convolvulus lopezsocasi   </v>
      </c>
    </row>
    <row r="416" spans="1:13" s="25" customFormat="1" ht="15" customHeight="1" x14ac:dyDescent="0.2">
      <c r="A416" s="15" t="s">
        <v>695</v>
      </c>
      <c r="B416" s="15">
        <v>882</v>
      </c>
      <c r="C416" s="21" t="s">
        <v>2029</v>
      </c>
      <c r="D416" s="15" t="s">
        <v>2030</v>
      </c>
      <c r="E416" s="23" t="s">
        <v>1293</v>
      </c>
      <c r="F416" s="24" t="s">
        <v>2031</v>
      </c>
      <c r="G416" s="24"/>
      <c r="H416" s="24" t="s">
        <v>1300</v>
      </c>
      <c r="I416" s="15" t="s">
        <v>1294</v>
      </c>
      <c r="J416" s="24"/>
      <c r="K416" s="24"/>
      <c r="M416" s="20" t="str">
        <f t="shared" si="6"/>
        <v>Convolvulus subauriculatus</v>
      </c>
    </row>
    <row r="417" spans="1:13" s="25" customFormat="1" ht="15" customHeight="1" x14ac:dyDescent="0.2">
      <c r="A417" s="15" t="s">
        <v>695</v>
      </c>
      <c r="B417" s="15">
        <v>3741</v>
      </c>
      <c r="C417" s="58" t="s">
        <v>1203</v>
      </c>
      <c r="D417" s="22" t="s">
        <v>2032</v>
      </c>
      <c r="E417" s="23" t="s">
        <v>1293</v>
      </c>
      <c r="F417" s="24" t="s">
        <v>2033</v>
      </c>
      <c r="G417" s="24"/>
      <c r="H417" s="24" t="s">
        <v>1300</v>
      </c>
      <c r="I417" s="15" t="s">
        <v>1294</v>
      </c>
      <c r="J417" s="24"/>
      <c r="K417" s="24"/>
      <c r="M417" s="20" t="str">
        <f t="shared" si="6"/>
        <v>Coronopus navasii</v>
      </c>
    </row>
    <row r="418" spans="1:13" s="25" customFormat="1" ht="14.25" customHeight="1" x14ac:dyDescent="0.2">
      <c r="A418" s="15" t="s">
        <v>695</v>
      </c>
      <c r="B418" s="15">
        <v>1061</v>
      </c>
      <c r="C418" s="21" t="s">
        <v>2034</v>
      </c>
      <c r="D418" s="15" t="s">
        <v>2035</v>
      </c>
      <c r="E418" s="23" t="s">
        <v>1293</v>
      </c>
      <c r="F418" s="24" t="s">
        <v>2036</v>
      </c>
      <c r="G418" s="24"/>
      <c r="H418" s="24" t="s">
        <v>547</v>
      </c>
      <c r="I418" s="15" t="s">
        <v>1294</v>
      </c>
      <c r="J418" s="24"/>
      <c r="K418" s="24"/>
      <c r="M418" s="20" t="str">
        <f t="shared" si="6"/>
        <v>Crambe arborea</v>
      </c>
    </row>
    <row r="419" spans="1:13" s="25" customFormat="1" ht="15" customHeight="1" x14ac:dyDescent="0.2">
      <c r="A419" s="15" t="s">
        <v>695</v>
      </c>
      <c r="B419" s="15">
        <v>886</v>
      </c>
      <c r="C419" s="21" t="s">
        <v>2037</v>
      </c>
      <c r="D419" s="15" t="s">
        <v>2038</v>
      </c>
      <c r="E419" s="23" t="s">
        <v>1293</v>
      </c>
      <c r="F419" s="24" t="s">
        <v>2039</v>
      </c>
      <c r="G419" s="24"/>
      <c r="H419" s="24" t="s">
        <v>547</v>
      </c>
      <c r="I419" s="15" t="s">
        <v>1294</v>
      </c>
      <c r="J419" s="24"/>
      <c r="K419" s="24"/>
      <c r="M419" s="20" t="str">
        <f t="shared" si="6"/>
        <v>Crambe laevigata</v>
      </c>
    </row>
    <row r="420" spans="1:13" s="25" customFormat="1" ht="15" customHeight="1" x14ac:dyDescent="0.2">
      <c r="A420" s="15" t="s">
        <v>695</v>
      </c>
      <c r="B420" s="15">
        <v>887</v>
      </c>
      <c r="C420" s="21" t="s">
        <v>2040</v>
      </c>
      <c r="D420" s="15" t="s">
        <v>2041</v>
      </c>
      <c r="E420" s="23" t="s">
        <v>1293</v>
      </c>
      <c r="F420" s="24" t="s">
        <v>2042</v>
      </c>
      <c r="G420" s="24"/>
      <c r="H420" s="24" t="s">
        <v>547</v>
      </c>
      <c r="I420" s="15" t="s">
        <v>1294</v>
      </c>
      <c r="J420" s="24"/>
      <c r="K420" s="24"/>
      <c r="M420" s="20" t="str">
        <f t="shared" si="6"/>
        <v>Crambe scoparia</v>
      </c>
    </row>
    <row r="421" spans="1:13" s="25" customFormat="1" ht="15" customHeight="1" x14ac:dyDescent="0.2">
      <c r="A421" s="15" t="s">
        <v>695</v>
      </c>
      <c r="B421" s="15">
        <v>888</v>
      </c>
      <c r="C421" s="21" t="s">
        <v>2043</v>
      </c>
      <c r="D421" s="15" t="s">
        <v>2044</v>
      </c>
      <c r="E421" s="23" t="s">
        <v>1293</v>
      </c>
      <c r="F421" s="24" t="s">
        <v>2045</v>
      </c>
      <c r="G421" s="24"/>
      <c r="H421" s="24" t="s">
        <v>1300</v>
      </c>
      <c r="I421" s="15" t="s">
        <v>1294</v>
      </c>
      <c r="J421" s="24"/>
      <c r="K421" s="24"/>
      <c r="M421" s="20" t="str">
        <f t="shared" si="6"/>
        <v>Crambe sventenii</v>
      </c>
    </row>
    <row r="422" spans="1:13" s="25" customFormat="1" ht="15" customHeight="1" x14ac:dyDescent="0.2">
      <c r="A422" s="15" t="s">
        <v>695</v>
      </c>
      <c r="B422" s="15">
        <v>208</v>
      </c>
      <c r="C422" s="21" t="s">
        <v>1204</v>
      </c>
      <c r="D422" s="15" t="s">
        <v>2046</v>
      </c>
      <c r="E422" s="23" t="s">
        <v>1293</v>
      </c>
      <c r="F422" s="24"/>
      <c r="G422" s="24"/>
      <c r="H422" s="24" t="s">
        <v>547</v>
      </c>
      <c r="I422" s="15" t="s">
        <v>1294</v>
      </c>
      <c r="J422" s="24"/>
      <c r="K422" s="24"/>
      <c r="M422" s="20" t="str">
        <f t="shared" si="6"/>
        <v>Crepis granatensis</v>
      </c>
    </row>
    <row r="423" spans="1:13" ht="15" customHeight="1" x14ac:dyDescent="0.2">
      <c r="A423" s="14" t="s">
        <v>695</v>
      </c>
      <c r="B423" s="15">
        <v>189</v>
      </c>
      <c r="C423" s="16" t="s">
        <v>2047</v>
      </c>
      <c r="D423" s="14" t="s">
        <v>2048</v>
      </c>
      <c r="E423" s="17" t="s">
        <v>1293</v>
      </c>
      <c r="F423" s="18"/>
      <c r="G423" s="18"/>
      <c r="H423" s="18" t="s">
        <v>547</v>
      </c>
      <c r="I423" s="14" t="s">
        <v>1294</v>
      </c>
      <c r="J423" s="18"/>
      <c r="K423" s="18"/>
      <c r="M423" s="20" t="str">
        <f t="shared" si="6"/>
        <v>Crepis pusilla</v>
      </c>
    </row>
    <row r="424" spans="1:13" ht="15" customHeight="1" x14ac:dyDescent="0.2">
      <c r="A424" s="14" t="s">
        <v>695</v>
      </c>
      <c r="B424" s="15">
        <v>3876</v>
      </c>
      <c r="C424" s="16" t="s">
        <v>1205</v>
      </c>
      <c r="D424" s="14" t="s">
        <v>2049</v>
      </c>
      <c r="E424" s="17" t="s">
        <v>1293</v>
      </c>
      <c r="F424" s="18" t="s">
        <v>2050</v>
      </c>
      <c r="G424" s="18"/>
      <c r="H424" s="18" t="s">
        <v>547</v>
      </c>
      <c r="I424" s="14" t="s">
        <v>1294</v>
      </c>
      <c r="J424" s="18"/>
      <c r="K424" s="18"/>
      <c r="M424" s="20" t="str">
        <f t="shared" si="6"/>
        <v>Culcita macrocarpa</v>
      </c>
    </row>
    <row r="425" spans="1:13" ht="15" customHeight="1" x14ac:dyDescent="0.2">
      <c r="A425" s="14" t="s">
        <v>695</v>
      </c>
      <c r="B425" s="15">
        <v>3911</v>
      </c>
      <c r="C425" s="16" t="s">
        <v>1215</v>
      </c>
      <c r="D425" s="14" t="s">
        <v>2051</v>
      </c>
      <c r="E425" s="17" t="s">
        <v>1293</v>
      </c>
      <c r="F425" s="18" t="s">
        <v>1216</v>
      </c>
      <c r="G425" s="18" t="s">
        <v>1465</v>
      </c>
      <c r="H425" s="18" t="s">
        <v>562</v>
      </c>
      <c r="I425" s="14" t="s">
        <v>1975</v>
      </c>
      <c r="J425" s="18"/>
      <c r="K425" s="18"/>
      <c r="M425" s="20" t="str">
        <f t="shared" si="6"/>
        <v>Cymodocea nodosa</v>
      </c>
    </row>
    <row r="426" spans="1:13" ht="15" customHeight="1" x14ac:dyDescent="0.2">
      <c r="A426" s="14" t="s">
        <v>695</v>
      </c>
      <c r="B426" s="15">
        <v>3911</v>
      </c>
      <c r="C426" s="16" t="s">
        <v>1215</v>
      </c>
      <c r="D426" s="14" t="s">
        <v>2051</v>
      </c>
      <c r="E426" s="17" t="s">
        <v>1293</v>
      </c>
      <c r="F426" s="18" t="s">
        <v>1216</v>
      </c>
      <c r="G426" s="18" t="s">
        <v>2052</v>
      </c>
      <c r="H426" s="18" t="s">
        <v>547</v>
      </c>
      <c r="I426" s="14" t="s">
        <v>1294</v>
      </c>
      <c r="J426" s="18"/>
      <c r="K426" s="18"/>
      <c r="M426" s="20" t="str">
        <f t="shared" si="6"/>
        <v>Cymodocea nodosa</v>
      </c>
    </row>
    <row r="427" spans="1:13" ht="15" customHeight="1" x14ac:dyDescent="0.2">
      <c r="A427" s="14" t="s">
        <v>695</v>
      </c>
      <c r="B427" s="15">
        <v>3795</v>
      </c>
      <c r="C427" s="16" t="s">
        <v>2053</v>
      </c>
      <c r="D427" s="14" t="s">
        <v>2054</v>
      </c>
      <c r="E427" s="17" t="s">
        <v>1293</v>
      </c>
      <c r="F427" s="18" t="s">
        <v>2055</v>
      </c>
      <c r="G427" s="18"/>
      <c r="H427" s="18" t="s">
        <v>1300</v>
      </c>
      <c r="I427" s="14" t="s">
        <v>1294</v>
      </c>
      <c r="J427" s="18"/>
      <c r="K427" s="18"/>
      <c r="M427" s="20" t="str">
        <f t="shared" si="6"/>
        <v>Cypripedium calceolus</v>
      </c>
    </row>
    <row r="428" spans="1:13" ht="15" customHeight="1" x14ac:dyDescent="0.2">
      <c r="A428" s="14" t="s">
        <v>695</v>
      </c>
      <c r="B428" s="15">
        <v>208082</v>
      </c>
      <c r="C428" s="59" t="s">
        <v>2056</v>
      </c>
      <c r="D428" s="35" t="s">
        <v>2057</v>
      </c>
      <c r="E428" s="17" t="s">
        <v>2058</v>
      </c>
      <c r="F428" s="18"/>
      <c r="G428" s="18" t="s">
        <v>1774</v>
      </c>
      <c r="H428" s="18" t="s">
        <v>547</v>
      </c>
      <c r="I428" s="14" t="s">
        <v>2059</v>
      </c>
      <c r="J428" s="18"/>
      <c r="K428" s="35"/>
      <c r="M428" s="20" t="str">
        <f t="shared" si="6"/>
        <v>(2) Cystoseira sp.</v>
      </c>
    </row>
    <row r="429" spans="1:13" ht="15" customHeight="1" x14ac:dyDescent="0.2">
      <c r="A429" s="14" t="s">
        <v>695</v>
      </c>
      <c r="B429" s="22">
        <v>79301</v>
      </c>
      <c r="C429" s="44" t="s">
        <v>2060</v>
      </c>
      <c r="D429" s="60" t="s">
        <v>2061</v>
      </c>
      <c r="E429" s="17" t="s">
        <v>1293</v>
      </c>
      <c r="F429" s="18" t="s">
        <v>2062</v>
      </c>
      <c r="G429" s="18" t="s">
        <v>1465</v>
      </c>
      <c r="H429" s="18" t="s">
        <v>562</v>
      </c>
      <c r="I429" s="14" t="s">
        <v>1449</v>
      </c>
      <c r="J429" s="61"/>
      <c r="K429" s="61"/>
      <c r="M429" s="20" t="str">
        <f t="shared" si="6"/>
        <v>Cystoseira abies-marina</v>
      </c>
    </row>
    <row r="430" spans="1:13" ht="15" customHeight="1" x14ac:dyDescent="0.2">
      <c r="A430" s="14" t="s">
        <v>695</v>
      </c>
      <c r="B430" s="15">
        <v>3962</v>
      </c>
      <c r="C430" s="16" t="s">
        <v>2063</v>
      </c>
      <c r="D430" s="14" t="s">
        <v>2064</v>
      </c>
      <c r="E430" s="17" t="s">
        <v>1293</v>
      </c>
      <c r="F430" s="18"/>
      <c r="G430" s="18"/>
      <c r="H430" s="18" t="s">
        <v>1300</v>
      </c>
      <c r="I430" s="14" t="s">
        <v>1411</v>
      </c>
      <c r="J430" s="18"/>
      <c r="K430" s="18"/>
      <c r="M430" s="20" t="str">
        <f t="shared" si="6"/>
        <v>Daphne alpina</v>
      </c>
    </row>
    <row r="431" spans="1:13" ht="15" customHeight="1" x14ac:dyDescent="0.2">
      <c r="A431" s="14" t="s">
        <v>695</v>
      </c>
      <c r="B431" s="15">
        <v>3969</v>
      </c>
      <c r="C431" s="16" t="s">
        <v>2065</v>
      </c>
      <c r="D431" s="14" t="s">
        <v>2066</v>
      </c>
      <c r="E431" s="17" t="s">
        <v>1293</v>
      </c>
      <c r="F431" s="18" t="s">
        <v>2067</v>
      </c>
      <c r="G431" s="18"/>
      <c r="H431" s="18" t="s">
        <v>562</v>
      </c>
      <c r="I431" s="14" t="s">
        <v>1294</v>
      </c>
      <c r="J431" s="18"/>
      <c r="K431" s="18"/>
      <c r="M431" s="20" t="str">
        <f t="shared" si="6"/>
        <v>Daphne rodriguezii</v>
      </c>
    </row>
    <row r="432" spans="1:13" s="25" customFormat="1" ht="15" customHeight="1" x14ac:dyDescent="0.2">
      <c r="A432" s="15" t="s">
        <v>695</v>
      </c>
      <c r="B432" s="15">
        <v>3995</v>
      </c>
      <c r="C432" s="21" t="s">
        <v>2068</v>
      </c>
      <c r="D432" s="15" t="s">
        <v>2069</v>
      </c>
      <c r="E432" s="23" t="s">
        <v>1293</v>
      </c>
      <c r="F432" s="24" t="s">
        <v>2070</v>
      </c>
      <c r="G432" s="24"/>
      <c r="H432" s="24" t="s">
        <v>1300</v>
      </c>
      <c r="I432" s="15" t="s">
        <v>1294</v>
      </c>
      <c r="J432" s="24"/>
      <c r="K432" s="24"/>
      <c r="M432" s="20" t="str">
        <f t="shared" si="6"/>
        <v>Delphinium bolosii</v>
      </c>
    </row>
    <row r="433" spans="1:13" s="25" customFormat="1" ht="15" customHeight="1" x14ac:dyDescent="0.2">
      <c r="A433" s="15" t="s">
        <v>695</v>
      </c>
      <c r="B433" s="15">
        <v>4031</v>
      </c>
      <c r="C433" s="21" t="s">
        <v>2071</v>
      </c>
      <c r="D433" s="15" t="s">
        <v>2072</v>
      </c>
      <c r="E433" s="23" t="s">
        <v>1293</v>
      </c>
      <c r="F433" s="24"/>
      <c r="G433" s="24"/>
      <c r="H433" s="24" t="s">
        <v>562</v>
      </c>
      <c r="I433" s="15" t="s">
        <v>1411</v>
      </c>
      <c r="J433" s="24"/>
      <c r="K433" s="24"/>
      <c r="M433" s="20" t="str">
        <f t="shared" si="6"/>
        <v>Delphinium montanum</v>
      </c>
    </row>
    <row r="434" spans="1:13" s="25" customFormat="1" ht="15" customHeight="1" x14ac:dyDescent="0.2">
      <c r="A434" s="15" t="s">
        <v>695</v>
      </c>
      <c r="B434" s="15">
        <v>1258</v>
      </c>
      <c r="C434" s="21" t="s">
        <v>2073</v>
      </c>
      <c r="D434" s="15" t="s">
        <v>2074</v>
      </c>
      <c r="E434" s="23" t="s">
        <v>1293</v>
      </c>
      <c r="F434" s="24" t="s">
        <v>2075</v>
      </c>
      <c r="G434" s="24"/>
      <c r="H434" s="24" t="s">
        <v>547</v>
      </c>
      <c r="I434" s="15" t="s">
        <v>1294</v>
      </c>
      <c r="J434" s="24"/>
      <c r="K434" s="24"/>
      <c r="M434" s="20" t="str">
        <f t="shared" si="6"/>
        <v>Dendriopoterium pulidoi</v>
      </c>
    </row>
    <row r="435" spans="1:13" s="25" customFormat="1" ht="15" customHeight="1" x14ac:dyDescent="0.2">
      <c r="A435" s="15" t="s">
        <v>695</v>
      </c>
      <c r="B435" s="15">
        <v>4094</v>
      </c>
      <c r="C435" s="21" t="s">
        <v>2076</v>
      </c>
      <c r="D435" s="15" t="s">
        <v>2077</v>
      </c>
      <c r="E435" s="23" t="s">
        <v>1293</v>
      </c>
      <c r="F435" s="24"/>
      <c r="G435" s="24"/>
      <c r="H435" s="24" t="s">
        <v>547</v>
      </c>
      <c r="I435" s="15" t="s">
        <v>1294</v>
      </c>
      <c r="J435" s="24"/>
      <c r="K435" s="24"/>
      <c r="M435" s="20" t="str">
        <f t="shared" si="6"/>
        <v>Dianthus rupicola</v>
      </c>
    </row>
    <row r="436" spans="1:13" s="25" customFormat="1" ht="15" customHeight="1" x14ac:dyDescent="0.2">
      <c r="A436" s="15" t="s">
        <v>695</v>
      </c>
      <c r="B436" s="15">
        <v>4110</v>
      </c>
      <c r="C436" s="21" t="s">
        <v>1207</v>
      </c>
      <c r="D436" s="15" t="s">
        <v>2078</v>
      </c>
      <c r="E436" s="23" t="s">
        <v>1293</v>
      </c>
      <c r="F436" s="24" t="s">
        <v>1208</v>
      </c>
      <c r="G436" s="24" t="s">
        <v>1465</v>
      </c>
      <c r="H436" s="24" t="s">
        <v>562</v>
      </c>
      <c r="I436" s="15" t="s">
        <v>1294</v>
      </c>
      <c r="J436" s="24"/>
      <c r="K436" s="24"/>
      <c r="M436" s="20" t="str">
        <f t="shared" si="6"/>
        <v>Diplazium caudatum</v>
      </c>
    </row>
    <row r="437" spans="1:13" s="25" customFormat="1" ht="15" customHeight="1" x14ac:dyDescent="0.2">
      <c r="A437" s="15" t="s">
        <v>695</v>
      </c>
      <c r="B437" s="15">
        <v>4110</v>
      </c>
      <c r="C437" s="21" t="s">
        <v>1207</v>
      </c>
      <c r="D437" s="15" t="s">
        <v>2078</v>
      </c>
      <c r="E437" s="23" t="s">
        <v>1293</v>
      </c>
      <c r="F437" s="24" t="s">
        <v>1208</v>
      </c>
      <c r="G437" s="24" t="s">
        <v>1508</v>
      </c>
      <c r="H437" s="24" t="s">
        <v>1300</v>
      </c>
      <c r="I437" s="15" t="s">
        <v>1294</v>
      </c>
      <c r="J437" s="24"/>
      <c r="K437" s="24"/>
      <c r="M437" s="20" t="str">
        <f t="shared" si="6"/>
        <v>Diplazium caudatum</v>
      </c>
    </row>
    <row r="438" spans="1:13" s="25" customFormat="1" ht="15" customHeight="1" x14ac:dyDescent="0.2">
      <c r="A438" s="15" t="s">
        <v>695</v>
      </c>
      <c r="B438" s="15">
        <v>4118</v>
      </c>
      <c r="C438" s="21" t="s">
        <v>2079</v>
      </c>
      <c r="D438" s="15" t="s">
        <v>2080</v>
      </c>
      <c r="E438" s="23" t="s">
        <v>1293</v>
      </c>
      <c r="F438" s="24"/>
      <c r="G438" s="24"/>
      <c r="H438" s="24" t="s">
        <v>547</v>
      </c>
      <c r="I438" s="15" t="s">
        <v>1294</v>
      </c>
      <c r="J438" s="24"/>
      <c r="K438" s="24"/>
      <c r="M438" s="20" t="str">
        <f t="shared" si="6"/>
        <v>Diplotaxis ibicensis</v>
      </c>
    </row>
    <row r="439" spans="1:13" s="25" customFormat="1" ht="15" customHeight="1" x14ac:dyDescent="0.2">
      <c r="A439" s="15" t="s">
        <v>695</v>
      </c>
      <c r="B439" s="15">
        <v>4122</v>
      </c>
      <c r="C439" s="21" t="s">
        <v>1209</v>
      </c>
      <c r="D439" s="22" t="s">
        <v>2081</v>
      </c>
      <c r="E439" s="23" t="s">
        <v>1293</v>
      </c>
      <c r="F439" s="24" t="s">
        <v>1210</v>
      </c>
      <c r="G439" s="24"/>
      <c r="H439" s="24" t="s">
        <v>1300</v>
      </c>
      <c r="I439" s="15" t="s">
        <v>1294</v>
      </c>
      <c r="J439" s="24"/>
      <c r="K439" s="24"/>
      <c r="M439" s="20" t="str">
        <f t="shared" si="6"/>
        <v>Diplotaxis siettiana</v>
      </c>
    </row>
    <row r="440" spans="1:13" s="25" customFormat="1" ht="15" customHeight="1" x14ac:dyDescent="0.2">
      <c r="A440" s="15" t="s">
        <v>695</v>
      </c>
      <c r="B440" s="15">
        <v>896</v>
      </c>
      <c r="C440" s="21" t="s">
        <v>2082</v>
      </c>
      <c r="D440" s="56" t="s">
        <v>2083</v>
      </c>
      <c r="E440" s="23" t="s">
        <v>1293</v>
      </c>
      <c r="F440" s="24" t="s">
        <v>2084</v>
      </c>
      <c r="G440" s="24"/>
      <c r="H440" s="24" t="s">
        <v>1300</v>
      </c>
      <c r="I440" s="15" t="s">
        <v>1294</v>
      </c>
      <c r="J440" s="24"/>
      <c r="K440" s="24"/>
      <c r="M440" s="20" t="str">
        <f t="shared" si="6"/>
        <v>Dorycnium spectabile</v>
      </c>
    </row>
    <row r="441" spans="1:13" s="25" customFormat="1" ht="15" customHeight="1" x14ac:dyDescent="0.2">
      <c r="A441" s="15" t="s">
        <v>695</v>
      </c>
      <c r="B441" s="15">
        <v>897</v>
      </c>
      <c r="C441" s="21" t="s">
        <v>2085</v>
      </c>
      <c r="D441" s="15" t="s">
        <v>2086</v>
      </c>
      <c r="E441" s="23" t="s">
        <v>1293</v>
      </c>
      <c r="F441" s="24" t="s">
        <v>2087</v>
      </c>
      <c r="G441" s="24"/>
      <c r="H441" s="24" t="s">
        <v>547</v>
      </c>
      <c r="I441" s="15" t="s">
        <v>1294</v>
      </c>
      <c r="J441" s="24"/>
      <c r="K441" s="24"/>
      <c r="M441" s="20" t="str">
        <f t="shared" si="6"/>
        <v>Dracaena draco</v>
      </c>
    </row>
    <row r="442" spans="1:13" s="25" customFormat="1" ht="15.75" customHeight="1" x14ac:dyDescent="0.2">
      <c r="A442" s="15" t="s">
        <v>695</v>
      </c>
      <c r="B442" s="15">
        <v>898</v>
      </c>
      <c r="C442" s="21" t="s">
        <v>2088</v>
      </c>
      <c r="D442" s="15" t="s">
        <v>2089</v>
      </c>
      <c r="E442" s="23" t="s">
        <v>1293</v>
      </c>
      <c r="F442" s="24" t="s">
        <v>2090</v>
      </c>
      <c r="G442" s="24"/>
      <c r="H442" s="24" t="s">
        <v>1300</v>
      </c>
      <c r="I442" s="15" t="s">
        <v>1294</v>
      </c>
      <c r="J442" s="24"/>
      <c r="K442" s="24"/>
      <c r="M442" s="20" t="str">
        <f t="shared" si="6"/>
        <v>Dracaena tamaranae</v>
      </c>
    </row>
    <row r="443" spans="1:13" s="25" customFormat="1" ht="15.75" customHeight="1" x14ac:dyDescent="0.2">
      <c r="A443" s="15" t="s">
        <v>695</v>
      </c>
      <c r="B443" s="15">
        <v>4157</v>
      </c>
      <c r="C443" s="21" t="s">
        <v>2091</v>
      </c>
      <c r="D443" s="15" t="s">
        <v>2092</v>
      </c>
      <c r="E443" s="23" t="s">
        <v>1293</v>
      </c>
      <c r="F443" s="24"/>
      <c r="G443" s="24"/>
      <c r="H443" s="24" t="s">
        <v>1300</v>
      </c>
      <c r="I443" s="15" t="s">
        <v>1294</v>
      </c>
      <c r="J443" s="24"/>
      <c r="K443" s="24"/>
      <c r="M443" s="20" t="str">
        <f t="shared" si="6"/>
        <v>Dracocephalum austriacum</v>
      </c>
    </row>
    <row r="444" spans="1:13" s="25" customFormat="1" ht="12.75" customHeight="1" x14ac:dyDescent="0.2">
      <c r="A444" s="15" t="s">
        <v>695</v>
      </c>
      <c r="B444" s="15">
        <v>4179</v>
      </c>
      <c r="C444" s="21" t="s">
        <v>2093</v>
      </c>
      <c r="D444" s="15" t="s">
        <v>2094</v>
      </c>
      <c r="E444" s="23" t="s">
        <v>1293</v>
      </c>
      <c r="F444" s="24"/>
      <c r="G444" s="24"/>
      <c r="H444" s="24" t="s">
        <v>547</v>
      </c>
      <c r="I444" s="15" t="s">
        <v>1294</v>
      </c>
      <c r="J444" s="24"/>
      <c r="K444" s="24"/>
      <c r="M444" s="20" t="str">
        <f t="shared" si="6"/>
        <v>Dryopteris corleyi</v>
      </c>
    </row>
    <row r="445" spans="1:13" s="25" customFormat="1" ht="15" customHeight="1" x14ac:dyDescent="0.2">
      <c r="A445" s="15" t="s">
        <v>695</v>
      </c>
      <c r="B445" s="15">
        <v>12232</v>
      </c>
      <c r="C445" s="21" t="s">
        <v>2095</v>
      </c>
      <c r="D445" s="15" t="s">
        <v>2096</v>
      </c>
      <c r="E445" s="23" t="s">
        <v>1293</v>
      </c>
      <c r="F445" s="24"/>
      <c r="G445" s="24"/>
      <c r="H445" s="24" t="s">
        <v>547</v>
      </c>
      <c r="I445" s="15" t="s">
        <v>1294</v>
      </c>
      <c r="J445" s="24"/>
      <c r="K445" s="24"/>
      <c r="M445" s="20" t="str">
        <f t="shared" si="6"/>
        <v>Echinodium spinosum</v>
      </c>
    </row>
    <row r="446" spans="1:13" s="25" customFormat="1" ht="12.75" customHeight="1" x14ac:dyDescent="0.2">
      <c r="A446" s="15" t="s">
        <v>695</v>
      </c>
      <c r="B446" s="15">
        <v>1278</v>
      </c>
      <c r="C446" s="21" t="s">
        <v>2097</v>
      </c>
      <c r="D446" s="15" t="s">
        <v>2098</v>
      </c>
      <c r="E446" s="23" t="s">
        <v>1293</v>
      </c>
      <c r="F446" s="24" t="s">
        <v>2099</v>
      </c>
      <c r="G446" s="24"/>
      <c r="H446" s="24" t="s">
        <v>547</v>
      </c>
      <c r="I446" s="15" t="s">
        <v>1294</v>
      </c>
      <c r="J446" s="24"/>
      <c r="K446" s="24"/>
      <c r="M446" s="20" t="str">
        <f t="shared" si="6"/>
        <v>Echium gentianoides</v>
      </c>
    </row>
    <row r="447" spans="1:13" ht="15" customHeight="1" x14ac:dyDescent="0.2">
      <c r="A447" s="14" t="s">
        <v>695</v>
      </c>
      <c r="B447" s="15">
        <v>902</v>
      </c>
      <c r="C447" s="16" t="s">
        <v>2100</v>
      </c>
      <c r="D447" s="15" t="s">
        <v>2101</v>
      </c>
      <c r="E447" s="17" t="s">
        <v>1293</v>
      </c>
      <c r="F447" s="24" t="s">
        <v>2102</v>
      </c>
      <c r="G447" s="18"/>
      <c r="H447" s="18" t="s">
        <v>1300</v>
      </c>
      <c r="I447" s="14" t="s">
        <v>1294</v>
      </c>
      <c r="J447" s="18"/>
      <c r="K447" s="18"/>
      <c r="M447" s="20" t="str">
        <f t="shared" si="6"/>
        <v>Echium handiense</v>
      </c>
    </row>
    <row r="448" spans="1:13" ht="15" customHeight="1" x14ac:dyDescent="0.2">
      <c r="A448" s="14" t="s">
        <v>695</v>
      </c>
      <c r="B448" s="15">
        <v>4245</v>
      </c>
      <c r="C448" s="16" t="s">
        <v>2103</v>
      </c>
      <c r="D448" s="15" t="s">
        <v>2104</v>
      </c>
      <c r="E448" s="17" t="s">
        <v>1293</v>
      </c>
      <c r="F448" s="24" t="s">
        <v>2105</v>
      </c>
      <c r="G448" s="18"/>
      <c r="H448" s="18" t="s">
        <v>547</v>
      </c>
      <c r="I448" s="14" t="s">
        <v>1294</v>
      </c>
      <c r="J448" s="18"/>
      <c r="K448" s="18"/>
      <c r="M448" s="20" t="str">
        <f t="shared" si="6"/>
        <v>Echium pininana</v>
      </c>
    </row>
    <row r="449" spans="1:13" s="25" customFormat="1" ht="15" customHeight="1" x14ac:dyDescent="0.2">
      <c r="A449" s="15" t="s">
        <v>695</v>
      </c>
      <c r="B449" s="15">
        <v>245</v>
      </c>
      <c r="C449" s="21" t="s">
        <v>1213</v>
      </c>
      <c r="D449" s="15" t="s">
        <v>2106</v>
      </c>
      <c r="E449" s="23" t="s">
        <v>1293</v>
      </c>
      <c r="F449" s="24"/>
      <c r="G449" s="24"/>
      <c r="H449" s="24" t="s">
        <v>547</v>
      </c>
      <c r="I449" s="15" t="s">
        <v>1294</v>
      </c>
      <c r="J449" s="24"/>
      <c r="K449" s="24"/>
      <c r="M449" s="20" t="str">
        <f t="shared" si="6"/>
        <v>Erigeron frigidus</v>
      </c>
    </row>
    <row r="450" spans="1:13" s="25" customFormat="1" ht="15" customHeight="1" x14ac:dyDescent="0.2">
      <c r="A450" s="15" t="s">
        <v>695</v>
      </c>
      <c r="B450" s="15">
        <v>9989</v>
      </c>
      <c r="C450" s="21" t="s">
        <v>1217</v>
      </c>
      <c r="D450" s="15" t="s">
        <v>2107</v>
      </c>
      <c r="E450" s="23" t="s">
        <v>1293</v>
      </c>
      <c r="F450" s="29"/>
      <c r="G450" s="24"/>
      <c r="H450" s="24" t="s">
        <v>1300</v>
      </c>
      <c r="I450" s="15" t="s">
        <v>1294</v>
      </c>
      <c r="J450" s="24"/>
      <c r="K450" s="62" t="s">
        <v>2108</v>
      </c>
      <c r="M450" s="20" t="str">
        <f t="shared" si="6"/>
        <v>Erodium astragaloides</v>
      </c>
    </row>
    <row r="451" spans="1:13" s="25" customFormat="1" ht="15" customHeight="1" x14ac:dyDescent="0.2">
      <c r="A451" s="15" t="s">
        <v>695</v>
      </c>
      <c r="B451" s="15">
        <v>9837</v>
      </c>
      <c r="C451" s="21" t="s">
        <v>2109</v>
      </c>
      <c r="D451" s="15" t="s">
        <v>2110</v>
      </c>
      <c r="E451" s="23" t="s">
        <v>1293</v>
      </c>
      <c r="F451" s="24" t="s">
        <v>2111</v>
      </c>
      <c r="G451" s="24"/>
      <c r="H451" s="24" t="s">
        <v>1300</v>
      </c>
      <c r="I451" s="15" t="s">
        <v>1411</v>
      </c>
      <c r="J451" s="24"/>
      <c r="K451" s="24"/>
      <c r="M451" s="20" t="str">
        <f t="shared" ref="M451:M514" si="7">TRIM(C451)</f>
        <v>Erodium foetidum</v>
      </c>
    </row>
    <row r="452" spans="1:13" s="25" customFormat="1" ht="15" customHeight="1" x14ac:dyDescent="0.2">
      <c r="A452" s="15" t="s">
        <v>695</v>
      </c>
      <c r="B452" s="15">
        <v>1</v>
      </c>
      <c r="C452" s="21" t="s">
        <v>2112</v>
      </c>
      <c r="D452" s="30" t="s">
        <v>2113</v>
      </c>
      <c r="E452" s="23" t="s">
        <v>1293</v>
      </c>
      <c r="F452" s="29" t="s">
        <v>2114</v>
      </c>
      <c r="G452" s="24"/>
      <c r="H452" s="24" t="s">
        <v>562</v>
      </c>
      <c r="I452" s="15" t="s">
        <v>1294</v>
      </c>
      <c r="J452" s="24"/>
      <c r="K452" s="24"/>
      <c r="M452" s="20" t="str">
        <f t="shared" si="7"/>
        <v>Erodium paularense</v>
      </c>
    </row>
    <row r="453" spans="1:13" s="25" customFormat="1" ht="31.5" customHeight="1" x14ac:dyDescent="0.25">
      <c r="A453" s="15" t="s">
        <v>695</v>
      </c>
      <c r="B453" s="15">
        <v>10007</v>
      </c>
      <c r="C453" s="21" t="s">
        <v>1219</v>
      </c>
      <c r="D453" s="15" t="s">
        <v>2115</v>
      </c>
      <c r="E453" s="24" t="s">
        <v>1293</v>
      </c>
      <c r="F453" s="29" t="s">
        <v>2116</v>
      </c>
      <c r="G453" s="24"/>
      <c r="H453" s="24" t="s">
        <v>562</v>
      </c>
      <c r="I453" s="15" t="s">
        <v>1294</v>
      </c>
      <c r="J453" s="24"/>
      <c r="K453" s="30" t="s">
        <v>2117</v>
      </c>
      <c r="M453" s="20" t="str">
        <f t="shared" si="7"/>
        <v>Erodium rupicola</v>
      </c>
    </row>
    <row r="454" spans="1:13" s="25" customFormat="1" ht="15" customHeight="1" x14ac:dyDescent="0.2">
      <c r="A454" s="15" t="s">
        <v>695</v>
      </c>
      <c r="B454" s="15">
        <v>4412</v>
      </c>
      <c r="C454" s="21" t="s">
        <v>2118</v>
      </c>
      <c r="D454" s="15" t="s">
        <v>2119</v>
      </c>
      <c r="E454" s="23" t="s">
        <v>1293</v>
      </c>
      <c r="F454" s="24" t="s">
        <v>2120</v>
      </c>
      <c r="G454" s="24"/>
      <c r="H454" s="24" t="s">
        <v>562</v>
      </c>
      <c r="I454" s="15" t="s">
        <v>1975</v>
      </c>
      <c r="J454" s="24" t="s">
        <v>2121</v>
      </c>
      <c r="K454" s="15"/>
      <c r="M454" s="20" t="str">
        <f t="shared" si="7"/>
        <v>Eryngium viviparum</v>
      </c>
    </row>
    <row r="455" spans="1:13" s="25" customFormat="1" ht="54.6" customHeight="1" x14ac:dyDescent="0.25">
      <c r="A455" s="15" t="s">
        <v>695</v>
      </c>
      <c r="B455" s="15">
        <v>907</v>
      </c>
      <c r="C455" s="21" t="s">
        <v>2122</v>
      </c>
      <c r="D455" s="15" t="s">
        <v>2123</v>
      </c>
      <c r="E455" s="24" t="s">
        <v>1293</v>
      </c>
      <c r="F455" s="29" t="s">
        <v>2124</v>
      </c>
      <c r="G455" s="24"/>
      <c r="H455" s="24" t="s">
        <v>1300</v>
      </c>
      <c r="I455" s="15" t="s">
        <v>1294</v>
      </c>
      <c r="J455" s="24"/>
      <c r="K455" s="38" t="s">
        <v>2125</v>
      </c>
      <c r="M455" s="20" t="str">
        <f t="shared" si="7"/>
        <v>Euphorbia bourgeauana</v>
      </c>
    </row>
    <row r="456" spans="1:13" s="25" customFormat="1" ht="12.75" customHeight="1" x14ac:dyDescent="0.2">
      <c r="A456" s="15" t="s">
        <v>695</v>
      </c>
      <c r="B456" s="15">
        <v>909</v>
      </c>
      <c r="C456" s="21" t="s">
        <v>2126</v>
      </c>
      <c r="D456" s="15" t="s">
        <v>2127</v>
      </c>
      <c r="E456" s="23" t="s">
        <v>1293</v>
      </c>
      <c r="F456" s="29" t="s">
        <v>2128</v>
      </c>
      <c r="G456" s="24"/>
      <c r="H456" s="24" t="s">
        <v>547</v>
      </c>
      <c r="I456" s="15" t="s">
        <v>1294</v>
      </c>
      <c r="J456" s="24"/>
      <c r="K456" s="24"/>
      <c r="M456" s="20" t="str">
        <f t="shared" si="7"/>
        <v>Euphorbia handiensis</v>
      </c>
    </row>
    <row r="457" spans="1:13" s="25" customFormat="1" ht="42.75" customHeight="1" x14ac:dyDescent="0.25">
      <c r="A457" s="15" t="s">
        <v>695</v>
      </c>
      <c r="B457" s="15">
        <v>907</v>
      </c>
      <c r="C457" s="21" t="s">
        <v>2129</v>
      </c>
      <c r="D457" s="15" t="s">
        <v>2123</v>
      </c>
      <c r="E457" s="24" t="s">
        <v>1293</v>
      </c>
      <c r="F457" s="29" t="s">
        <v>2130</v>
      </c>
      <c r="G457" s="24"/>
      <c r="H457" s="24" t="s">
        <v>547</v>
      </c>
      <c r="I457" s="15" t="s">
        <v>1294</v>
      </c>
      <c r="J457" s="24"/>
      <c r="K457" s="38" t="s">
        <v>2131</v>
      </c>
      <c r="M457" s="20" t="str">
        <f t="shared" si="7"/>
        <v>Euphorbia lambii</v>
      </c>
    </row>
    <row r="458" spans="1:13" ht="15" customHeight="1" x14ac:dyDescent="0.2">
      <c r="A458" s="14" t="s">
        <v>695</v>
      </c>
      <c r="B458" s="15">
        <v>4504</v>
      </c>
      <c r="C458" s="16" t="s">
        <v>2132</v>
      </c>
      <c r="D458" s="15" t="s">
        <v>2133</v>
      </c>
      <c r="E458" s="17" t="s">
        <v>1293</v>
      </c>
      <c r="F458" s="24" t="s">
        <v>2134</v>
      </c>
      <c r="G458" s="18"/>
      <c r="H458" s="18" t="s">
        <v>562</v>
      </c>
      <c r="I458" s="14" t="s">
        <v>1294</v>
      </c>
      <c r="J458" s="18"/>
      <c r="K458" s="18"/>
      <c r="M458" s="20" t="str">
        <f t="shared" si="7"/>
        <v>Euphorbia margalidiana</v>
      </c>
    </row>
    <row r="459" spans="1:13" ht="17.25" customHeight="1" x14ac:dyDescent="0.2">
      <c r="A459" s="14" t="s">
        <v>695</v>
      </c>
      <c r="B459" s="15">
        <v>910</v>
      </c>
      <c r="C459" s="16" t="s">
        <v>2135</v>
      </c>
      <c r="D459" s="14" t="s">
        <v>2136</v>
      </c>
      <c r="E459" s="17" t="s">
        <v>1293</v>
      </c>
      <c r="F459" s="18" t="s">
        <v>2137</v>
      </c>
      <c r="G459" s="18"/>
      <c r="H459" s="18" t="s">
        <v>1300</v>
      </c>
      <c r="I459" s="14" t="s">
        <v>1294</v>
      </c>
      <c r="J459" s="18"/>
      <c r="K459" s="18"/>
      <c r="M459" s="20" t="str">
        <f t="shared" si="7"/>
        <v>Euphorbia mellifera</v>
      </c>
    </row>
    <row r="460" spans="1:13" ht="12.75" customHeight="1" x14ac:dyDescent="0.2">
      <c r="A460" s="14" t="s">
        <v>695</v>
      </c>
      <c r="B460" s="15">
        <v>4509</v>
      </c>
      <c r="C460" s="16" t="s">
        <v>2138</v>
      </c>
      <c r="D460" s="14" t="s">
        <v>2139</v>
      </c>
      <c r="E460" s="17" t="s">
        <v>1318</v>
      </c>
      <c r="F460" s="18"/>
      <c r="G460" s="18"/>
      <c r="H460" s="18" t="s">
        <v>547</v>
      </c>
      <c r="I460" s="14" t="s">
        <v>1294</v>
      </c>
      <c r="J460" s="18"/>
      <c r="K460" s="18"/>
      <c r="M460" s="20" t="str">
        <f t="shared" si="7"/>
        <v>Euphorbia nevadensis subsp. nevadensis</v>
      </c>
    </row>
    <row r="461" spans="1:13" ht="15" customHeight="1" x14ac:dyDescent="0.2">
      <c r="A461" s="14" t="s">
        <v>695</v>
      </c>
      <c r="B461" s="15">
        <v>4539</v>
      </c>
      <c r="C461" s="16" t="s">
        <v>1248</v>
      </c>
      <c r="D461" s="14" t="s">
        <v>2140</v>
      </c>
      <c r="E461" s="17" t="s">
        <v>1293</v>
      </c>
      <c r="F461" s="18"/>
      <c r="G461" s="18"/>
      <c r="H461" s="18" t="s">
        <v>547</v>
      </c>
      <c r="I461" s="14" t="s">
        <v>1294</v>
      </c>
      <c r="J461" s="18"/>
      <c r="K461" s="18"/>
      <c r="M461" s="20" t="str">
        <f t="shared" si="7"/>
        <v>Euphorbia transtagana</v>
      </c>
    </row>
    <row r="462" spans="1:13" s="25" customFormat="1" ht="15" customHeight="1" x14ac:dyDescent="0.2">
      <c r="A462" s="15" t="s">
        <v>695</v>
      </c>
      <c r="B462" s="15">
        <v>2896</v>
      </c>
      <c r="C462" s="21" t="s">
        <v>2141</v>
      </c>
      <c r="D462" s="22" t="s">
        <v>2142</v>
      </c>
      <c r="E462" s="23" t="s">
        <v>1293</v>
      </c>
      <c r="F462" s="24" t="s">
        <v>2143</v>
      </c>
      <c r="G462" s="24"/>
      <c r="H462" s="24" t="s">
        <v>562</v>
      </c>
      <c r="I462" s="15" t="s">
        <v>1294</v>
      </c>
      <c r="J462" s="24"/>
      <c r="K462" s="24"/>
      <c r="M462" s="20" t="str">
        <f t="shared" si="7"/>
        <v>Femeniasia balearica</v>
      </c>
    </row>
    <row r="463" spans="1:13" s="25" customFormat="1" ht="15" customHeight="1" x14ac:dyDescent="0.2">
      <c r="A463" s="15" t="s">
        <v>695</v>
      </c>
      <c r="B463" s="15">
        <v>1308</v>
      </c>
      <c r="C463" s="21" t="s">
        <v>2144</v>
      </c>
      <c r="D463" s="15" t="s">
        <v>2145</v>
      </c>
      <c r="E463" s="23" t="s">
        <v>1293</v>
      </c>
      <c r="F463" s="24" t="s">
        <v>2146</v>
      </c>
      <c r="G463" s="24"/>
      <c r="H463" s="24" t="s">
        <v>547</v>
      </c>
      <c r="I463" s="15" t="s">
        <v>1294</v>
      </c>
      <c r="J463" s="24"/>
      <c r="K463" s="24"/>
      <c r="M463" s="20" t="str">
        <f t="shared" si="7"/>
        <v>Ferula latipinna</v>
      </c>
    </row>
    <row r="464" spans="1:13" s="25" customFormat="1" ht="15" customHeight="1" x14ac:dyDescent="0.2">
      <c r="A464" s="15" t="s">
        <v>695</v>
      </c>
      <c r="B464" s="15">
        <v>282</v>
      </c>
      <c r="C464" s="21" t="s">
        <v>2147</v>
      </c>
      <c r="D464" s="15" t="s">
        <v>2148</v>
      </c>
      <c r="E464" s="23" t="s">
        <v>1293</v>
      </c>
      <c r="F464" s="24"/>
      <c r="G464" s="24"/>
      <c r="H464" s="24" t="s">
        <v>547</v>
      </c>
      <c r="I464" s="15" t="s">
        <v>1294</v>
      </c>
      <c r="J464" s="24"/>
      <c r="K464" s="24"/>
      <c r="M464" s="20" t="str">
        <f t="shared" si="7"/>
        <v>Festuca brigantina</v>
      </c>
    </row>
    <row r="465" spans="1:13" s="25" customFormat="1" ht="18" customHeight="1" x14ac:dyDescent="0.2">
      <c r="A465" s="15" t="s">
        <v>695</v>
      </c>
      <c r="B465" s="15">
        <v>10029</v>
      </c>
      <c r="C465" s="21" t="s">
        <v>1218</v>
      </c>
      <c r="D465" s="15" t="s">
        <v>2149</v>
      </c>
      <c r="E465" s="23" t="s">
        <v>1293</v>
      </c>
      <c r="F465" s="24"/>
      <c r="G465" s="24"/>
      <c r="H465" s="24" t="s">
        <v>547</v>
      </c>
      <c r="I465" s="15" t="s">
        <v>1294</v>
      </c>
      <c r="J465" s="24"/>
      <c r="K465" s="24"/>
      <c r="M465" s="20" t="str">
        <f t="shared" si="7"/>
        <v>Festuca elegans</v>
      </c>
    </row>
    <row r="466" spans="1:13" s="25" customFormat="1" ht="28.15" customHeight="1" x14ac:dyDescent="0.25">
      <c r="A466" s="15" t="s">
        <v>695</v>
      </c>
      <c r="B466" s="15">
        <v>24238</v>
      </c>
      <c r="C466" s="21" t="s">
        <v>2150</v>
      </c>
      <c r="D466" s="22" t="s">
        <v>2151</v>
      </c>
      <c r="E466" s="24" t="s">
        <v>1293</v>
      </c>
      <c r="F466" s="24"/>
      <c r="G466" s="24"/>
      <c r="H466" s="24" t="s">
        <v>547</v>
      </c>
      <c r="I466" s="15" t="s">
        <v>1294</v>
      </c>
      <c r="J466" s="24"/>
      <c r="K466" s="30"/>
      <c r="M466" s="20" t="str">
        <f t="shared" si="7"/>
        <v>Festuca summilusitana</v>
      </c>
    </row>
    <row r="467" spans="1:13" s="25" customFormat="1" ht="13.15" customHeight="1" x14ac:dyDescent="0.25">
      <c r="A467" s="15" t="s">
        <v>695</v>
      </c>
      <c r="B467" s="31">
        <v>37475</v>
      </c>
      <c r="C467" s="28" t="s">
        <v>2152</v>
      </c>
      <c r="D467" s="28" t="s">
        <v>2153</v>
      </c>
      <c r="E467" s="63" t="s">
        <v>1293</v>
      </c>
      <c r="F467" s="32" t="s">
        <v>2154</v>
      </c>
      <c r="G467" s="32"/>
      <c r="H467" s="32" t="s">
        <v>1300</v>
      </c>
      <c r="I467" s="15" t="s">
        <v>1483</v>
      </c>
      <c r="J467" s="24"/>
      <c r="K467" s="30"/>
      <c r="M467" s="20" t="str">
        <f t="shared" si="7"/>
        <v>Gadoria falukei Güemes y Mota</v>
      </c>
    </row>
    <row r="468" spans="1:13" s="25" customFormat="1" ht="15" customHeight="1" x14ac:dyDescent="0.2">
      <c r="A468" s="15" t="s">
        <v>695</v>
      </c>
      <c r="B468" s="15">
        <v>4796</v>
      </c>
      <c r="C468" s="21" t="s">
        <v>1221</v>
      </c>
      <c r="D468" s="15" t="s">
        <v>2155</v>
      </c>
      <c r="E468" s="23" t="s">
        <v>1293</v>
      </c>
      <c r="F468" s="24"/>
      <c r="G468" s="24"/>
      <c r="H468" s="24" t="s">
        <v>547</v>
      </c>
      <c r="I468" s="15" t="s">
        <v>1294</v>
      </c>
      <c r="J468" s="24"/>
      <c r="K468" s="24"/>
      <c r="M468" s="20" t="str">
        <f t="shared" si="7"/>
        <v>Galium viridiflorum</v>
      </c>
    </row>
    <row r="469" spans="1:13" s="25" customFormat="1" ht="15" customHeight="1" x14ac:dyDescent="0.2">
      <c r="A469" s="15" t="s">
        <v>695</v>
      </c>
      <c r="B469" s="15">
        <v>9873</v>
      </c>
      <c r="C469" s="21" t="s">
        <v>1222</v>
      </c>
      <c r="D469" s="15" t="s">
        <v>2156</v>
      </c>
      <c r="E469" s="23" t="s">
        <v>1293</v>
      </c>
      <c r="F469" s="24"/>
      <c r="G469" s="24"/>
      <c r="H469" s="24" t="s">
        <v>547</v>
      </c>
      <c r="I469" s="15" t="s">
        <v>1294</v>
      </c>
      <c r="J469" s="24"/>
      <c r="K469" s="24"/>
      <c r="M469" s="20" t="str">
        <f t="shared" si="7"/>
        <v>Gaudinia hispanica</v>
      </c>
    </row>
    <row r="470" spans="1:13" s="25" customFormat="1" ht="15" customHeight="1" x14ac:dyDescent="0.2">
      <c r="A470" s="15" t="s">
        <v>695</v>
      </c>
      <c r="B470" s="15">
        <v>13719</v>
      </c>
      <c r="C470" s="21" t="s">
        <v>2157</v>
      </c>
      <c r="D470" s="15" t="s">
        <v>2158</v>
      </c>
      <c r="E470" s="23" t="s">
        <v>1293</v>
      </c>
      <c r="F470" s="24" t="s">
        <v>2159</v>
      </c>
      <c r="G470" s="24"/>
      <c r="H470" s="24" t="s">
        <v>562</v>
      </c>
      <c r="I470" s="15" t="s">
        <v>1449</v>
      </c>
      <c r="J470" s="24"/>
      <c r="K470" s="15"/>
      <c r="M470" s="20" t="str">
        <f t="shared" si="7"/>
        <v>Gelidium arbusculum</v>
      </c>
    </row>
    <row r="471" spans="1:13" s="25" customFormat="1" ht="26.25" customHeight="1" x14ac:dyDescent="0.25">
      <c r="A471" s="15" t="s">
        <v>695</v>
      </c>
      <c r="B471" s="15">
        <v>13721</v>
      </c>
      <c r="C471" s="21" t="s">
        <v>2160</v>
      </c>
      <c r="D471" s="15" t="s">
        <v>2161</v>
      </c>
      <c r="E471" s="24" t="s">
        <v>1293</v>
      </c>
      <c r="F471" s="24" t="s">
        <v>2162</v>
      </c>
      <c r="G471" s="24"/>
      <c r="H471" s="24" t="s">
        <v>562</v>
      </c>
      <c r="I471" s="15" t="s">
        <v>1449</v>
      </c>
      <c r="J471" s="24"/>
      <c r="K471" s="15"/>
      <c r="M471" s="20" t="str">
        <f t="shared" si="7"/>
        <v>Gelidium canariense</v>
      </c>
    </row>
    <row r="472" spans="1:13" s="25" customFormat="1" ht="15" customHeight="1" x14ac:dyDescent="0.2">
      <c r="A472" s="15" t="s">
        <v>695</v>
      </c>
      <c r="B472" s="15">
        <v>913</v>
      </c>
      <c r="C472" s="21" t="s">
        <v>2163</v>
      </c>
      <c r="D472" s="22" t="s">
        <v>2164</v>
      </c>
      <c r="E472" s="23" t="s">
        <v>1293</v>
      </c>
      <c r="F472" s="24" t="s">
        <v>2165</v>
      </c>
      <c r="G472" s="24"/>
      <c r="H472" s="24" t="s">
        <v>547</v>
      </c>
      <c r="I472" s="15" t="s">
        <v>1294</v>
      </c>
      <c r="J472" s="24"/>
      <c r="K472" s="24"/>
      <c r="M472" s="20" t="str">
        <f t="shared" si="7"/>
        <v>Genista benehoavensis</v>
      </c>
    </row>
    <row r="473" spans="1:13" s="25" customFormat="1" ht="15" customHeight="1" x14ac:dyDescent="0.2">
      <c r="A473" s="15" t="s">
        <v>695</v>
      </c>
      <c r="B473" s="15">
        <v>4884</v>
      </c>
      <c r="C473" s="21" t="s">
        <v>2166</v>
      </c>
      <c r="D473" s="15" t="s">
        <v>2167</v>
      </c>
      <c r="E473" s="23" t="s">
        <v>1293</v>
      </c>
      <c r="F473" s="24"/>
      <c r="G473" s="24"/>
      <c r="H473" s="24" t="s">
        <v>547</v>
      </c>
      <c r="I473" s="15" t="s">
        <v>1294</v>
      </c>
      <c r="J473" s="24"/>
      <c r="K473" s="24"/>
      <c r="M473" s="20" t="str">
        <f t="shared" si="7"/>
        <v>Genista dorycnifolia</v>
      </c>
    </row>
    <row r="474" spans="1:13" ht="13.5" customHeight="1" x14ac:dyDescent="0.2">
      <c r="A474" s="14" t="s">
        <v>695</v>
      </c>
      <c r="B474" s="15">
        <v>4937</v>
      </c>
      <c r="C474" s="16" t="s">
        <v>2168</v>
      </c>
      <c r="D474" s="14" t="s">
        <v>2169</v>
      </c>
      <c r="E474" s="17" t="s">
        <v>1318</v>
      </c>
      <c r="F474" s="18"/>
      <c r="G474" s="18"/>
      <c r="H474" s="18" t="s">
        <v>1300</v>
      </c>
      <c r="I474" s="14" t="s">
        <v>1411</v>
      </c>
      <c r="J474" s="18"/>
      <c r="K474" s="18"/>
      <c r="M474" s="20" t="str">
        <f t="shared" si="7"/>
        <v>Gentiana angustifolia subsp. angustifolia</v>
      </c>
    </row>
    <row r="475" spans="1:13" ht="15" customHeight="1" x14ac:dyDescent="0.2">
      <c r="A475" s="14" t="s">
        <v>695</v>
      </c>
      <c r="B475" s="15">
        <v>4987</v>
      </c>
      <c r="C475" s="16" t="s">
        <v>2170</v>
      </c>
      <c r="D475" s="15" t="s">
        <v>2171</v>
      </c>
      <c r="E475" s="17" t="s">
        <v>1293</v>
      </c>
      <c r="F475" s="18"/>
      <c r="G475" s="18"/>
      <c r="H475" s="18" t="s">
        <v>562</v>
      </c>
      <c r="I475" s="14" t="s">
        <v>1411</v>
      </c>
      <c r="J475" s="18"/>
      <c r="K475" s="18"/>
      <c r="M475" s="20" t="str">
        <f t="shared" si="7"/>
        <v>Glandora oleifolia (=Lithodora oleifolia)</v>
      </c>
    </row>
    <row r="476" spans="1:13" ht="15" customHeight="1" x14ac:dyDescent="0.2">
      <c r="A476" s="14" t="s">
        <v>695</v>
      </c>
      <c r="B476" s="15">
        <v>912</v>
      </c>
      <c r="C476" s="16" t="s">
        <v>2172</v>
      </c>
      <c r="D476" s="15" t="s">
        <v>2173</v>
      </c>
      <c r="E476" s="17" t="s">
        <v>1293</v>
      </c>
      <c r="F476" s="18" t="s">
        <v>2174</v>
      </c>
      <c r="G476" s="18"/>
      <c r="H476" s="18" t="s">
        <v>1300</v>
      </c>
      <c r="I476" s="14" t="s">
        <v>1294</v>
      </c>
      <c r="J476" s="18"/>
      <c r="K476" s="18"/>
      <c r="M476" s="20" t="str">
        <f t="shared" si="7"/>
        <v>Globularia ascanii</v>
      </c>
    </row>
    <row r="477" spans="1:13" ht="15" customHeight="1" x14ac:dyDescent="0.2">
      <c r="A477" s="14" t="s">
        <v>695</v>
      </c>
      <c r="B477" s="15">
        <v>916</v>
      </c>
      <c r="C477" s="16" t="s">
        <v>2175</v>
      </c>
      <c r="D477" s="15" t="s">
        <v>2176</v>
      </c>
      <c r="E477" s="17" t="s">
        <v>1293</v>
      </c>
      <c r="F477" s="18" t="s">
        <v>2177</v>
      </c>
      <c r="G477" s="18"/>
      <c r="H477" s="18" t="s">
        <v>1300</v>
      </c>
      <c r="I477" s="14" t="s">
        <v>1294</v>
      </c>
      <c r="J477" s="18"/>
      <c r="K477" s="18"/>
      <c r="M477" s="20" t="str">
        <f t="shared" si="7"/>
        <v>Globularia sarcophylla</v>
      </c>
    </row>
    <row r="478" spans="1:13" ht="15" customHeight="1" x14ac:dyDescent="0.2">
      <c r="A478" s="14" t="s">
        <v>695</v>
      </c>
      <c r="B478" s="15">
        <v>13796</v>
      </c>
      <c r="C478" s="16" t="s">
        <v>1179</v>
      </c>
      <c r="D478" s="15" t="s">
        <v>2178</v>
      </c>
      <c r="E478" s="17" t="s">
        <v>1293</v>
      </c>
      <c r="F478" s="18"/>
      <c r="G478" s="18" t="s">
        <v>1774</v>
      </c>
      <c r="H478" s="18" t="s">
        <v>547</v>
      </c>
      <c r="I478" s="14" t="s">
        <v>1294</v>
      </c>
      <c r="J478" s="18"/>
      <c r="K478" s="18"/>
      <c r="M478" s="20" t="str">
        <f t="shared" si="7"/>
        <v>Gymnogongrus crenulatus</v>
      </c>
    </row>
    <row r="479" spans="1:13" s="25" customFormat="1" ht="15" customHeight="1" x14ac:dyDescent="0.25">
      <c r="A479" s="15" t="s">
        <v>695</v>
      </c>
      <c r="B479" s="31">
        <v>1520</v>
      </c>
      <c r="C479" s="28" t="s">
        <v>2179</v>
      </c>
      <c r="D479" s="28" t="s">
        <v>2180</v>
      </c>
      <c r="E479" s="63" t="s">
        <v>1293</v>
      </c>
      <c r="F479" s="32" t="s">
        <v>2181</v>
      </c>
      <c r="G479" s="32"/>
      <c r="H479" s="32" t="s">
        <v>547</v>
      </c>
      <c r="I479" s="15" t="s">
        <v>1483</v>
      </c>
      <c r="J479" s="24"/>
      <c r="K479" s="24"/>
      <c r="M479" s="20" t="str">
        <f t="shared" si="7"/>
        <v>Gymnosporia cryptopetala Reyes-Bet. &amp; Santos</v>
      </c>
    </row>
    <row r="480" spans="1:13" s="25" customFormat="1" ht="15" customHeight="1" x14ac:dyDescent="0.2">
      <c r="A480" s="15" t="s">
        <v>695</v>
      </c>
      <c r="B480" s="31">
        <v>5029</v>
      </c>
      <c r="C480" s="28" t="s">
        <v>2182</v>
      </c>
      <c r="D480" s="28" t="s">
        <v>2183</v>
      </c>
      <c r="E480" s="23" t="s">
        <v>1293</v>
      </c>
      <c r="F480" s="24" t="s">
        <v>2184</v>
      </c>
      <c r="G480" s="24"/>
      <c r="H480" s="24" t="s">
        <v>1300</v>
      </c>
      <c r="I480" s="15" t="s">
        <v>1483</v>
      </c>
      <c r="J480" s="24"/>
      <c r="K480" s="24"/>
      <c r="M480" s="20" t="str">
        <f t="shared" si="7"/>
        <v>Gyrocaryum oppositiflorum Valdés</v>
      </c>
    </row>
    <row r="481" spans="1:13" ht="15" customHeight="1" x14ac:dyDescent="0.2">
      <c r="A481" s="14" t="s">
        <v>695</v>
      </c>
      <c r="B481" s="15">
        <v>12389</v>
      </c>
      <c r="C481" s="16" t="s">
        <v>2185</v>
      </c>
      <c r="D481" s="15" t="s">
        <v>2186</v>
      </c>
      <c r="E481" s="17" t="s">
        <v>1293</v>
      </c>
      <c r="F481" s="18"/>
      <c r="G481" s="18"/>
      <c r="H481" s="18" t="s">
        <v>547</v>
      </c>
      <c r="I481" s="14" t="s">
        <v>1294</v>
      </c>
      <c r="J481" s="18"/>
      <c r="K481" s="18"/>
      <c r="M481" s="20" t="str">
        <f t="shared" si="7"/>
        <v>Hamatocaulis vernicosus</v>
      </c>
    </row>
    <row r="482" spans="1:13" ht="15" customHeight="1" x14ac:dyDescent="0.2">
      <c r="A482" s="14" t="s">
        <v>695</v>
      </c>
      <c r="B482" s="15">
        <v>4959</v>
      </c>
      <c r="C482" s="16" t="s">
        <v>1237</v>
      </c>
      <c r="D482" s="15" t="s">
        <v>2187</v>
      </c>
      <c r="E482" s="17" t="s">
        <v>1293</v>
      </c>
      <c r="F482" s="18"/>
      <c r="G482" s="18"/>
      <c r="H482" s="18" t="s">
        <v>547</v>
      </c>
      <c r="I482" s="14" t="s">
        <v>1294</v>
      </c>
      <c r="J482" s="18"/>
      <c r="K482" s="18"/>
      <c r="M482" s="20" t="str">
        <f t="shared" si="7"/>
        <v>Helianthemum alypoides</v>
      </c>
    </row>
    <row r="483" spans="1:13" ht="15" customHeight="1" x14ac:dyDescent="0.2">
      <c r="A483" s="14" t="s">
        <v>695</v>
      </c>
      <c r="B483" s="15">
        <v>914</v>
      </c>
      <c r="C483" s="16" t="s">
        <v>2188</v>
      </c>
      <c r="D483" s="15" t="s">
        <v>2189</v>
      </c>
      <c r="E483" s="17" t="s">
        <v>1293</v>
      </c>
      <c r="F483" s="18" t="s">
        <v>2190</v>
      </c>
      <c r="G483" s="18"/>
      <c r="H483" s="18" t="s">
        <v>1300</v>
      </c>
      <c r="I483" s="14" t="s">
        <v>1294</v>
      </c>
      <c r="J483" s="18"/>
      <c r="K483" s="18"/>
      <c r="M483" s="20" t="str">
        <f t="shared" si="7"/>
        <v>Helianthemum bramwelliorum</v>
      </c>
    </row>
    <row r="484" spans="1:13" ht="15" customHeight="1" x14ac:dyDescent="0.2">
      <c r="A484" s="14" t="s">
        <v>695</v>
      </c>
      <c r="B484" s="15">
        <v>915</v>
      </c>
      <c r="C484" s="16" t="s">
        <v>2191</v>
      </c>
      <c r="D484" s="15" t="s">
        <v>2192</v>
      </c>
      <c r="E484" s="17" t="s">
        <v>1293</v>
      </c>
      <c r="F484" s="18" t="s">
        <v>2193</v>
      </c>
      <c r="G484" s="18"/>
      <c r="H484" s="18" t="s">
        <v>1300</v>
      </c>
      <c r="I484" s="14" t="s">
        <v>1294</v>
      </c>
      <c r="J484" s="18"/>
      <c r="K484" s="18"/>
      <c r="M484" s="20" t="str">
        <f t="shared" si="7"/>
        <v>Helianthemum bystropogophyllum</v>
      </c>
    </row>
    <row r="485" spans="1:13" ht="15" customHeight="1" x14ac:dyDescent="0.2">
      <c r="A485" s="14" t="s">
        <v>695</v>
      </c>
      <c r="B485" s="15">
        <v>4970</v>
      </c>
      <c r="C485" s="16" t="s">
        <v>2194</v>
      </c>
      <c r="D485" s="15" t="s">
        <v>2195</v>
      </c>
      <c r="E485" s="17" t="s">
        <v>1293</v>
      </c>
      <c r="F485" s="18"/>
      <c r="G485" s="18"/>
      <c r="H485" s="18" t="s">
        <v>562</v>
      </c>
      <c r="I485" s="14" t="s">
        <v>1294</v>
      </c>
      <c r="J485" s="18"/>
      <c r="K485" s="18"/>
      <c r="M485" s="20" t="str">
        <f t="shared" si="7"/>
        <v>Helianthemum caput-felis</v>
      </c>
    </row>
    <row r="486" spans="1:13" ht="15" customHeight="1" x14ac:dyDescent="0.2">
      <c r="A486" s="14" t="s">
        <v>695</v>
      </c>
      <c r="B486" s="15">
        <v>917</v>
      </c>
      <c r="C486" s="16" t="s">
        <v>2196</v>
      </c>
      <c r="D486" s="14" t="s">
        <v>2197</v>
      </c>
      <c r="E486" s="17" t="s">
        <v>1293</v>
      </c>
      <c r="F486" s="18" t="s">
        <v>2198</v>
      </c>
      <c r="G486" s="18"/>
      <c r="H486" s="18" t="s">
        <v>1300</v>
      </c>
      <c r="I486" s="14" t="s">
        <v>1294</v>
      </c>
      <c r="J486" s="18"/>
      <c r="K486" s="18"/>
      <c r="M486" s="20" t="str">
        <f t="shared" si="7"/>
        <v>Helianthemum gonzalezferreri</v>
      </c>
    </row>
    <row r="487" spans="1:13" s="25" customFormat="1" ht="15" customHeight="1" x14ac:dyDescent="0.2">
      <c r="A487" s="15" t="s">
        <v>695</v>
      </c>
      <c r="B487" s="15">
        <v>918</v>
      </c>
      <c r="C487" s="21" t="s">
        <v>2199</v>
      </c>
      <c r="D487" s="22" t="s">
        <v>2200</v>
      </c>
      <c r="E487" s="23" t="s">
        <v>1293</v>
      </c>
      <c r="F487" s="24" t="s">
        <v>2201</v>
      </c>
      <c r="G487" s="24"/>
      <c r="H487" s="24" t="s">
        <v>1300</v>
      </c>
      <c r="I487" s="15" t="s">
        <v>1294</v>
      </c>
      <c r="J487" s="24"/>
      <c r="K487" s="24"/>
      <c r="M487" s="20" t="str">
        <f t="shared" si="7"/>
        <v>Helianthemum inaguae</v>
      </c>
    </row>
    <row r="488" spans="1:13" s="25" customFormat="1" ht="14.25" customHeight="1" x14ac:dyDescent="0.2">
      <c r="A488" s="15" t="s">
        <v>695</v>
      </c>
      <c r="B488" s="15">
        <v>919</v>
      </c>
      <c r="C488" s="21" t="s">
        <v>2202</v>
      </c>
      <c r="D488" s="15" t="s">
        <v>2203</v>
      </c>
      <c r="E488" s="23" t="s">
        <v>1293</v>
      </c>
      <c r="F488" s="24" t="s">
        <v>2204</v>
      </c>
      <c r="G488" s="24"/>
      <c r="H488" s="24" t="s">
        <v>1300</v>
      </c>
      <c r="I488" s="15" t="s">
        <v>1294</v>
      </c>
      <c r="J488" s="24"/>
      <c r="K488" s="24"/>
      <c r="M488" s="20" t="str">
        <f t="shared" si="7"/>
        <v>Helianthemum juliae</v>
      </c>
    </row>
    <row r="489" spans="1:13" s="25" customFormat="1" ht="15" customHeight="1" x14ac:dyDescent="0.2">
      <c r="A489" s="15" t="s">
        <v>695</v>
      </c>
      <c r="B489" s="15">
        <v>920</v>
      </c>
      <c r="C489" s="21" t="s">
        <v>2205</v>
      </c>
      <c r="D489" s="15" t="s">
        <v>2206</v>
      </c>
      <c r="E489" s="23" t="s">
        <v>1293</v>
      </c>
      <c r="F489" s="24" t="s">
        <v>2207</v>
      </c>
      <c r="G489" s="24"/>
      <c r="H489" s="24" t="s">
        <v>1300</v>
      </c>
      <c r="I489" s="15" t="s">
        <v>1294</v>
      </c>
      <c r="J489" s="24"/>
      <c r="K489" s="24"/>
      <c r="M489" s="20" t="str">
        <f t="shared" si="7"/>
        <v>Helianthemum teneriffae</v>
      </c>
    </row>
    <row r="490" spans="1:13" s="25" customFormat="1" ht="15" customHeight="1" x14ac:dyDescent="0.2">
      <c r="A490" s="15" t="s">
        <v>695</v>
      </c>
      <c r="B490" s="15">
        <v>922</v>
      </c>
      <c r="C490" s="21" t="s">
        <v>2208</v>
      </c>
      <c r="D490" s="15" t="s">
        <v>2209</v>
      </c>
      <c r="E490" s="23" t="s">
        <v>1293</v>
      </c>
      <c r="F490" s="24" t="s">
        <v>2210</v>
      </c>
      <c r="G490" s="24"/>
      <c r="H490" s="24" t="s">
        <v>1300</v>
      </c>
      <c r="I490" s="15" t="s">
        <v>1294</v>
      </c>
      <c r="J490" s="24"/>
      <c r="K490" s="24"/>
      <c r="M490" s="20" t="str">
        <f t="shared" si="7"/>
        <v>Helichrysum alucense</v>
      </c>
    </row>
    <row r="491" spans="1:13" s="25" customFormat="1" ht="15" customHeight="1" x14ac:dyDescent="0.2">
      <c r="A491" s="15" t="s">
        <v>695</v>
      </c>
      <c r="B491" s="15">
        <v>1331</v>
      </c>
      <c r="C491" s="21" t="s">
        <v>2211</v>
      </c>
      <c r="D491" s="15" t="s">
        <v>2212</v>
      </c>
      <c r="E491" s="23" t="s">
        <v>1293</v>
      </c>
      <c r="F491" s="24" t="s">
        <v>2213</v>
      </c>
      <c r="G491" s="24"/>
      <c r="H491" s="24" t="s">
        <v>547</v>
      </c>
      <c r="I491" s="15" t="s">
        <v>1294</v>
      </c>
      <c r="J491" s="24"/>
      <c r="K491" s="24"/>
      <c r="M491" s="20" t="str">
        <f t="shared" si="7"/>
        <v>Helichrysum gossypinum</v>
      </c>
    </row>
    <row r="492" spans="1:13" s="25" customFormat="1" ht="14.25" customHeight="1" x14ac:dyDescent="0.2">
      <c r="A492" s="15" t="s">
        <v>695</v>
      </c>
      <c r="B492" s="15">
        <v>923</v>
      </c>
      <c r="C492" s="21" t="s">
        <v>2214</v>
      </c>
      <c r="D492" s="15" t="s">
        <v>2215</v>
      </c>
      <c r="E492" s="23" t="s">
        <v>1293</v>
      </c>
      <c r="F492" s="24" t="s">
        <v>2216</v>
      </c>
      <c r="G492" s="24"/>
      <c r="H492" s="24" t="s">
        <v>547</v>
      </c>
      <c r="I492" s="15" t="s">
        <v>1294</v>
      </c>
      <c r="J492" s="24"/>
      <c r="K492" s="24"/>
      <c r="M492" s="20" t="str">
        <f t="shared" si="7"/>
        <v>Helichrysum monogynum</v>
      </c>
    </row>
    <row r="493" spans="1:13" s="25" customFormat="1" ht="15" customHeight="1" x14ac:dyDescent="0.2">
      <c r="A493" s="15" t="s">
        <v>695</v>
      </c>
      <c r="B493" s="15">
        <v>375</v>
      </c>
      <c r="C493" s="21" t="s">
        <v>2217</v>
      </c>
      <c r="D493" s="56" t="s">
        <v>2218</v>
      </c>
      <c r="E493" s="23" t="s">
        <v>1293</v>
      </c>
      <c r="F493" s="24"/>
      <c r="G493" s="24"/>
      <c r="H493" s="24" t="s">
        <v>562</v>
      </c>
      <c r="I493" s="15" t="s">
        <v>1411</v>
      </c>
      <c r="J493" s="24"/>
      <c r="K493" s="24"/>
      <c r="M493" s="20" t="str">
        <f t="shared" si="7"/>
        <v>Hieracium queraltense</v>
      </c>
    </row>
    <row r="494" spans="1:13" s="25" customFormat="1" ht="16.5" customHeight="1" x14ac:dyDescent="0.2">
      <c r="A494" s="15" t="s">
        <v>695</v>
      </c>
      <c r="B494" s="15">
        <v>5264</v>
      </c>
      <c r="C494" s="21" t="s">
        <v>2219</v>
      </c>
      <c r="D494" s="15" t="s">
        <v>2220</v>
      </c>
      <c r="E494" s="23" t="s">
        <v>1293</v>
      </c>
      <c r="F494" s="24"/>
      <c r="G494" s="24"/>
      <c r="H494" s="24" t="s">
        <v>562</v>
      </c>
      <c r="I494" s="15" t="s">
        <v>1411</v>
      </c>
      <c r="J494" s="24"/>
      <c r="K494" s="24"/>
      <c r="M494" s="20" t="str">
        <f t="shared" si="7"/>
        <v>Hieracium recoderi</v>
      </c>
    </row>
    <row r="495" spans="1:13" s="25" customFormat="1" ht="15.75" customHeight="1" x14ac:dyDescent="0.2">
      <c r="A495" s="15" t="s">
        <v>695</v>
      </c>
      <c r="B495" s="15">
        <v>376</v>
      </c>
      <c r="C495" s="21" t="s">
        <v>1230</v>
      </c>
      <c r="D495" s="15" t="s">
        <v>2221</v>
      </c>
      <c r="E495" s="23" t="s">
        <v>1293</v>
      </c>
      <c r="F495" s="24"/>
      <c r="G495" s="24"/>
      <c r="H495" s="24" t="s">
        <v>1300</v>
      </c>
      <c r="I495" s="15" t="s">
        <v>1294</v>
      </c>
      <c r="J495" s="24"/>
      <c r="K495" s="24"/>
      <c r="M495" s="20" t="str">
        <f t="shared" si="7"/>
        <v>Hieracium texedense</v>
      </c>
    </row>
    <row r="496" spans="1:13" s="25" customFormat="1" ht="15.75" customHeight="1" x14ac:dyDescent="0.2">
      <c r="A496" s="15" t="s">
        <v>695</v>
      </c>
      <c r="B496" s="15">
        <v>377</v>
      </c>
      <c r="C496" s="21" t="s">
        <v>2222</v>
      </c>
      <c r="D496" s="22" t="s">
        <v>2223</v>
      </c>
      <c r="E496" s="23" t="s">
        <v>1293</v>
      </c>
      <c r="F496" s="24"/>
      <c r="G496" s="24"/>
      <c r="H496" s="24" t="s">
        <v>562</v>
      </c>
      <c r="I496" s="15" t="s">
        <v>1411</v>
      </c>
      <c r="J496" s="24"/>
      <c r="K496" s="24"/>
      <c r="M496" s="20" t="str">
        <f t="shared" si="7"/>
        <v>Hieracium vinyasianum</v>
      </c>
    </row>
    <row r="497" spans="1:13" s="25" customFormat="1" ht="15" customHeight="1" x14ac:dyDescent="0.2">
      <c r="A497" s="15" t="s">
        <v>695</v>
      </c>
      <c r="B497" s="15">
        <v>378</v>
      </c>
      <c r="C497" s="21" t="s">
        <v>2224</v>
      </c>
      <c r="D497" s="15" t="s">
        <v>2225</v>
      </c>
      <c r="E497" s="23" t="s">
        <v>1293</v>
      </c>
      <c r="F497" s="24" t="s">
        <v>2226</v>
      </c>
      <c r="G497" s="24"/>
      <c r="H497" s="24" t="s">
        <v>1300</v>
      </c>
      <c r="I497" s="15" t="s">
        <v>1294</v>
      </c>
      <c r="J497" s="24"/>
      <c r="K497" s="24"/>
      <c r="M497" s="20" t="str">
        <f t="shared" si="7"/>
        <v>Himantoglossum metlesicsianum</v>
      </c>
    </row>
    <row r="498" spans="1:13" s="25" customFormat="1" ht="15" customHeight="1" x14ac:dyDescent="0.2">
      <c r="A498" s="15" t="s">
        <v>695</v>
      </c>
      <c r="B498" s="15">
        <v>372</v>
      </c>
      <c r="C498" s="21" t="s">
        <v>2227</v>
      </c>
      <c r="D498" s="22" t="s">
        <v>2228</v>
      </c>
      <c r="E498" s="23" t="s">
        <v>1318</v>
      </c>
      <c r="F498" s="24"/>
      <c r="G498" s="24"/>
      <c r="H498" s="24" t="s">
        <v>547</v>
      </c>
      <c r="I498" s="15" t="s">
        <v>1294</v>
      </c>
      <c r="J498" s="24"/>
      <c r="K498" s="24"/>
      <c r="M498" s="20" t="str">
        <f t="shared" si="7"/>
        <v>Holcus setiglumis subsp. duriensis</v>
      </c>
    </row>
    <row r="499" spans="1:13" s="25" customFormat="1" ht="15" customHeight="1" x14ac:dyDescent="0.2">
      <c r="A499" s="42" t="s">
        <v>695</v>
      </c>
      <c r="B499" s="42">
        <v>5144</v>
      </c>
      <c r="C499" s="43" t="s">
        <v>1231</v>
      </c>
      <c r="D499" s="42" t="s">
        <v>2229</v>
      </c>
      <c r="E499" s="23" t="s">
        <v>1293</v>
      </c>
      <c r="F499" s="29" t="s">
        <v>2230</v>
      </c>
      <c r="G499" s="29"/>
      <c r="H499" s="29" t="s">
        <v>1300</v>
      </c>
      <c r="I499" s="42" t="s">
        <v>1682</v>
      </c>
      <c r="J499" s="24"/>
      <c r="K499" s="24"/>
      <c r="M499" s="20" t="str">
        <f t="shared" si="7"/>
        <v>Hydrocharis morsus-ranae</v>
      </c>
    </row>
    <row r="500" spans="1:13" ht="15" customHeight="1" x14ac:dyDescent="0.2">
      <c r="A500" s="14" t="s">
        <v>695</v>
      </c>
      <c r="B500" s="15">
        <v>5130</v>
      </c>
      <c r="C500" s="16" t="s">
        <v>2231</v>
      </c>
      <c r="D500" s="14" t="s">
        <v>2232</v>
      </c>
      <c r="E500" s="17" t="s">
        <v>1293</v>
      </c>
      <c r="F500" s="18"/>
      <c r="G500" s="18"/>
      <c r="H500" s="18" t="s">
        <v>1300</v>
      </c>
      <c r="I500" s="14" t="s">
        <v>1294</v>
      </c>
      <c r="J500" s="18"/>
      <c r="K500" s="18"/>
      <c r="M500" s="20" t="str">
        <f t="shared" si="7"/>
        <v>Hymenophyllum wilsonii</v>
      </c>
    </row>
    <row r="501" spans="1:13" ht="15" customHeight="1" x14ac:dyDescent="0.2">
      <c r="A501" s="14" t="s">
        <v>695</v>
      </c>
      <c r="B501" s="15">
        <v>358</v>
      </c>
      <c r="C501" s="16" t="s">
        <v>2233</v>
      </c>
      <c r="D501" s="15" t="s">
        <v>2234</v>
      </c>
      <c r="E501" s="17" t="s">
        <v>1293</v>
      </c>
      <c r="F501" s="18"/>
      <c r="G501" s="18"/>
      <c r="H501" s="18" t="s">
        <v>547</v>
      </c>
      <c r="I501" s="14" t="s">
        <v>1294</v>
      </c>
      <c r="J501" s="18"/>
      <c r="K501" s="18"/>
      <c r="M501" s="20" t="str">
        <f t="shared" si="7"/>
        <v>Hymenostemma pseudoanthemis</v>
      </c>
    </row>
    <row r="502" spans="1:13" ht="15" customHeight="1" x14ac:dyDescent="0.2">
      <c r="A502" s="14" t="s">
        <v>695</v>
      </c>
      <c r="B502" s="15">
        <v>925</v>
      </c>
      <c r="C502" s="16" t="s">
        <v>2235</v>
      </c>
      <c r="D502" s="15" t="s">
        <v>2236</v>
      </c>
      <c r="E502" s="17" t="s">
        <v>1293</v>
      </c>
      <c r="F502" s="18" t="s">
        <v>2237</v>
      </c>
      <c r="G502" s="18"/>
      <c r="H502" s="18" t="s">
        <v>1300</v>
      </c>
      <c r="I502" s="14" t="s">
        <v>1294</v>
      </c>
      <c r="J502" s="18"/>
      <c r="K502" s="18"/>
      <c r="M502" s="20" t="str">
        <f t="shared" si="7"/>
        <v>Hypochoeris oligocephala</v>
      </c>
    </row>
    <row r="503" spans="1:13" ht="15" customHeight="1" x14ac:dyDescent="0.2">
      <c r="A503" s="14" t="s">
        <v>695</v>
      </c>
      <c r="B503" s="15">
        <v>926</v>
      </c>
      <c r="C503" s="16" t="s">
        <v>2238</v>
      </c>
      <c r="D503" s="15" t="s">
        <v>2239</v>
      </c>
      <c r="E503" s="17" t="s">
        <v>1318</v>
      </c>
      <c r="F503" s="18" t="s">
        <v>2240</v>
      </c>
      <c r="G503" s="18"/>
      <c r="H503" s="18" t="s">
        <v>1300</v>
      </c>
      <c r="I503" s="14" t="s">
        <v>1294</v>
      </c>
      <c r="J503" s="18"/>
      <c r="K503" s="18"/>
      <c r="M503" s="20" t="str">
        <f t="shared" si="7"/>
        <v>Ilex perado subsp. lopezlilloi</v>
      </c>
    </row>
    <row r="504" spans="1:13" s="25" customFormat="1" ht="15" customHeight="1" x14ac:dyDescent="0.2">
      <c r="A504" s="15" t="s">
        <v>695</v>
      </c>
      <c r="B504" s="15">
        <v>9463</v>
      </c>
      <c r="C504" s="43" t="s">
        <v>2241</v>
      </c>
      <c r="D504" s="22" t="s">
        <v>2242</v>
      </c>
      <c r="E504" s="23" t="s">
        <v>1293</v>
      </c>
      <c r="F504" s="24"/>
      <c r="G504" s="24"/>
      <c r="H504" s="24" t="s">
        <v>547</v>
      </c>
      <c r="I504" s="15" t="s">
        <v>1294</v>
      </c>
      <c r="J504" s="24"/>
      <c r="K504" s="24"/>
      <c r="M504" s="20" t="str">
        <f t="shared" si="7"/>
        <v>Iris boissieri</v>
      </c>
    </row>
    <row r="505" spans="1:13" s="25" customFormat="1" ht="15" customHeight="1" x14ac:dyDescent="0.2">
      <c r="A505" s="15" t="s">
        <v>695</v>
      </c>
      <c r="B505" s="15">
        <v>24247</v>
      </c>
      <c r="C505" s="43" t="s">
        <v>2243</v>
      </c>
      <c r="D505" s="22" t="s">
        <v>2244</v>
      </c>
      <c r="E505" s="23" t="s">
        <v>1318</v>
      </c>
      <c r="F505" s="24"/>
      <c r="G505" s="24"/>
      <c r="H505" s="24" t="s">
        <v>547</v>
      </c>
      <c r="I505" s="15" t="s">
        <v>1294</v>
      </c>
      <c r="J505" s="24"/>
      <c r="K505" s="24"/>
      <c r="M505" s="20" t="str">
        <f t="shared" si="7"/>
        <v>Isoetes boryana</v>
      </c>
    </row>
    <row r="506" spans="1:13" s="25" customFormat="1" ht="15" customHeight="1" x14ac:dyDescent="0.2">
      <c r="A506" s="15" t="s">
        <v>695</v>
      </c>
      <c r="B506" s="15">
        <v>5455</v>
      </c>
      <c r="C506" s="21" t="s">
        <v>2245</v>
      </c>
      <c r="D506" s="15" t="s">
        <v>2246</v>
      </c>
      <c r="E506" s="23" t="s">
        <v>1293</v>
      </c>
      <c r="F506" s="24"/>
      <c r="G506" s="24"/>
      <c r="H506" s="24" t="s">
        <v>547</v>
      </c>
      <c r="I506" s="15" t="s">
        <v>1294</v>
      </c>
      <c r="J506" s="24"/>
      <c r="K506" s="24"/>
      <c r="M506" s="20" t="str">
        <f t="shared" si="7"/>
        <v>Jonopsidium savianum</v>
      </c>
    </row>
    <row r="507" spans="1:13" s="25" customFormat="1" ht="15" customHeight="1" x14ac:dyDescent="0.2">
      <c r="A507" s="15" t="s">
        <v>695</v>
      </c>
      <c r="B507" s="15">
        <v>78634</v>
      </c>
      <c r="C507" s="21" t="s">
        <v>2247</v>
      </c>
      <c r="D507" s="15" t="s">
        <v>2248</v>
      </c>
      <c r="E507" s="23" t="s">
        <v>1293</v>
      </c>
      <c r="F507" s="24"/>
      <c r="G507" s="24"/>
      <c r="H507" s="24" t="s">
        <v>547</v>
      </c>
      <c r="I507" s="15" t="s">
        <v>1294</v>
      </c>
      <c r="J507" s="24"/>
      <c r="K507" s="24"/>
      <c r="M507" s="20" t="str">
        <f t="shared" si="7"/>
        <v>Jungermannia handelii</v>
      </c>
    </row>
    <row r="508" spans="1:13" s="25" customFormat="1" ht="15" customHeight="1" x14ac:dyDescent="0.2">
      <c r="A508" s="15" t="s">
        <v>695</v>
      </c>
      <c r="B508" s="15">
        <v>1019</v>
      </c>
      <c r="C508" s="21" t="s">
        <v>2249</v>
      </c>
      <c r="D508" s="15" t="s">
        <v>2250</v>
      </c>
      <c r="E508" s="23" t="s">
        <v>1293</v>
      </c>
      <c r="F508" s="24"/>
      <c r="G508" s="24"/>
      <c r="H508" s="24" t="s">
        <v>562</v>
      </c>
      <c r="I508" s="15" t="s">
        <v>1294</v>
      </c>
      <c r="J508" s="24"/>
      <c r="K508" s="24"/>
      <c r="M508" s="20" t="str">
        <f t="shared" si="7"/>
        <v>Juniperus cedrus</v>
      </c>
    </row>
    <row r="509" spans="1:13" s="25" customFormat="1" ht="15" customHeight="1" x14ac:dyDescent="0.2">
      <c r="A509" s="15" t="s">
        <v>695</v>
      </c>
      <c r="B509" s="15">
        <v>5517</v>
      </c>
      <c r="C509" s="21" t="s">
        <v>1232</v>
      </c>
      <c r="D509" s="15" t="s">
        <v>2251</v>
      </c>
      <c r="E509" s="23" t="s">
        <v>1293</v>
      </c>
      <c r="F509" s="24"/>
      <c r="G509" s="24"/>
      <c r="H509" s="24" t="s">
        <v>1300</v>
      </c>
      <c r="I509" s="15" t="s">
        <v>1294</v>
      </c>
      <c r="J509" s="24"/>
      <c r="K509" s="24"/>
      <c r="M509" s="20" t="str">
        <f t="shared" si="7"/>
        <v>Jurinea fontqueri</v>
      </c>
    </row>
    <row r="510" spans="1:13" s="25" customFormat="1" ht="15" customHeight="1" x14ac:dyDescent="0.2">
      <c r="A510" s="15" t="s">
        <v>695</v>
      </c>
      <c r="B510" s="15">
        <v>13789</v>
      </c>
      <c r="C510" s="21" t="s">
        <v>1180</v>
      </c>
      <c r="D510" s="15" t="s">
        <v>2252</v>
      </c>
      <c r="E510" s="23" t="s">
        <v>1293</v>
      </c>
      <c r="F510" s="24"/>
      <c r="G510" s="24" t="s">
        <v>2253</v>
      </c>
      <c r="H510" s="24" t="s">
        <v>547</v>
      </c>
      <c r="I510" s="15" t="s">
        <v>1294</v>
      </c>
      <c r="J510" s="24"/>
      <c r="K510" s="24"/>
      <c r="M510" s="20" t="str">
        <f t="shared" si="7"/>
        <v>Kallymenia spathulata</v>
      </c>
    </row>
    <row r="511" spans="1:13" s="25" customFormat="1" ht="15" customHeight="1" x14ac:dyDescent="0.2">
      <c r="A511" s="15" t="s">
        <v>695</v>
      </c>
      <c r="B511" s="15">
        <v>5417</v>
      </c>
      <c r="C511" s="21" t="s">
        <v>2254</v>
      </c>
      <c r="D511" s="15" t="s">
        <v>2255</v>
      </c>
      <c r="E511" s="23" t="s">
        <v>1293</v>
      </c>
      <c r="F511" s="24"/>
      <c r="G511" s="24"/>
      <c r="H511" s="24" t="s">
        <v>547</v>
      </c>
      <c r="I511" s="15" t="s">
        <v>1294</v>
      </c>
      <c r="J511" s="24"/>
      <c r="K511" s="24"/>
      <c r="M511" s="20" t="str">
        <f t="shared" si="7"/>
        <v>Kosteletzkya pentacarpos</v>
      </c>
    </row>
    <row r="512" spans="1:13" s="25" customFormat="1" ht="15" customHeight="1" x14ac:dyDescent="0.2">
      <c r="A512" s="15" t="s">
        <v>695</v>
      </c>
      <c r="B512" s="15">
        <v>927</v>
      </c>
      <c r="C512" s="21" t="s">
        <v>2256</v>
      </c>
      <c r="D512" s="22" t="s">
        <v>2257</v>
      </c>
      <c r="E512" s="23" t="s">
        <v>1293</v>
      </c>
      <c r="F512" s="24" t="s">
        <v>2258</v>
      </c>
      <c r="G512" s="24"/>
      <c r="H512" s="24" t="s">
        <v>1300</v>
      </c>
      <c r="I512" s="15" t="s">
        <v>1294</v>
      </c>
      <c r="J512" s="24"/>
      <c r="K512" s="24"/>
      <c r="M512" s="20" t="str">
        <f t="shared" si="7"/>
        <v>Kunkeliella canariensis</v>
      </c>
    </row>
    <row r="513" spans="1:13" s="25" customFormat="1" ht="15" customHeight="1" x14ac:dyDescent="0.2">
      <c r="A513" s="15" t="s">
        <v>695</v>
      </c>
      <c r="B513" s="15">
        <v>1014</v>
      </c>
      <c r="C513" s="21" t="s">
        <v>2259</v>
      </c>
      <c r="D513" s="22" t="s">
        <v>2260</v>
      </c>
      <c r="E513" s="23" t="s">
        <v>1293</v>
      </c>
      <c r="F513" s="24" t="s">
        <v>2261</v>
      </c>
      <c r="G513" s="24"/>
      <c r="H513" s="24" t="s">
        <v>1300</v>
      </c>
      <c r="I513" s="15" t="s">
        <v>1294</v>
      </c>
      <c r="J513" s="24"/>
      <c r="K513" s="24"/>
      <c r="M513" s="20" t="str">
        <f t="shared" si="7"/>
        <v>Kunkeliella psilotoclada</v>
      </c>
    </row>
    <row r="514" spans="1:13" s="25" customFormat="1" ht="13.5" customHeight="1" x14ac:dyDescent="0.2">
      <c r="A514" s="15" t="s">
        <v>695</v>
      </c>
      <c r="B514" s="15">
        <v>929</v>
      </c>
      <c r="C514" s="21" t="s">
        <v>2262</v>
      </c>
      <c r="D514" s="22" t="s">
        <v>2263</v>
      </c>
      <c r="E514" s="23" t="s">
        <v>1293</v>
      </c>
      <c r="F514" s="24" t="s">
        <v>2264</v>
      </c>
      <c r="G514" s="24"/>
      <c r="H514" s="24" t="s">
        <v>1300</v>
      </c>
      <c r="I514" s="15" t="s">
        <v>1294</v>
      </c>
      <c r="J514" s="24"/>
      <c r="K514" s="24"/>
      <c r="M514" s="20" t="str">
        <f t="shared" si="7"/>
        <v>Kunkeliella subsucculenta</v>
      </c>
    </row>
    <row r="515" spans="1:13" s="25" customFormat="1" ht="15" customHeight="1" x14ac:dyDescent="0.2">
      <c r="A515" s="15" t="s">
        <v>695</v>
      </c>
      <c r="B515" s="15">
        <v>13132</v>
      </c>
      <c r="C515" s="21" t="s">
        <v>2265</v>
      </c>
      <c r="D515" s="15" t="s">
        <v>2266</v>
      </c>
      <c r="E515" s="23" t="s">
        <v>1293</v>
      </c>
      <c r="F515" s="24"/>
      <c r="G515" s="24" t="s">
        <v>1774</v>
      </c>
      <c r="H515" s="24" t="s">
        <v>547</v>
      </c>
      <c r="I515" s="15" t="s">
        <v>1294</v>
      </c>
      <c r="J515" s="24"/>
      <c r="K515" s="24"/>
      <c r="M515" s="20" t="str">
        <f t="shared" ref="M515:M578" si="8">TRIM(C515)</f>
        <v>Laminaria rodriguezii</v>
      </c>
    </row>
    <row r="516" spans="1:13" s="25" customFormat="1" ht="15" customHeight="1" x14ac:dyDescent="0.2">
      <c r="A516" s="15" t="s">
        <v>695</v>
      </c>
      <c r="B516" s="15">
        <v>5655</v>
      </c>
      <c r="C516" s="21" t="s">
        <v>2267</v>
      </c>
      <c r="D516" s="22" t="s">
        <v>2268</v>
      </c>
      <c r="E516" s="23" t="s">
        <v>1293</v>
      </c>
      <c r="F516" s="24"/>
      <c r="G516" s="24"/>
      <c r="H516" s="24" t="s">
        <v>1300</v>
      </c>
      <c r="I516" s="15" t="s">
        <v>1411</v>
      </c>
      <c r="J516" s="24"/>
      <c r="K516" s="24"/>
      <c r="M516" s="20" t="str">
        <f t="shared" si="8"/>
        <v>Lappula deflexa</v>
      </c>
    </row>
    <row r="517" spans="1:13" s="25" customFormat="1" ht="15" customHeight="1" x14ac:dyDescent="0.2">
      <c r="A517" s="15" t="s">
        <v>695</v>
      </c>
      <c r="B517" s="15">
        <v>5676</v>
      </c>
      <c r="C517" s="21" t="s">
        <v>1234</v>
      </c>
      <c r="D517" s="15" t="s">
        <v>2269</v>
      </c>
      <c r="E517" s="23" t="s">
        <v>1293</v>
      </c>
      <c r="F517" s="24"/>
      <c r="G517" s="24"/>
      <c r="H517" s="24" t="s">
        <v>1300</v>
      </c>
      <c r="I517" s="15" t="s">
        <v>1294</v>
      </c>
      <c r="J517" s="24"/>
      <c r="K517" s="24"/>
      <c r="M517" s="20" t="str">
        <f t="shared" si="8"/>
        <v>Laserpitium longiradium</v>
      </c>
    </row>
    <row r="518" spans="1:13" s="25" customFormat="1" ht="15" customHeight="1" x14ac:dyDescent="0.2">
      <c r="A518" s="15" t="s">
        <v>695</v>
      </c>
      <c r="B518" s="15">
        <v>466</v>
      </c>
      <c r="C518" s="21" t="s">
        <v>1228</v>
      </c>
      <c r="D518" s="15" t="s">
        <v>2270</v>
      </c>
      <c r="E518" s="23" t="s">
        <v>1293</v>
      </c>
      <c r="F518" s="24"/>
      <c r="G518" s="24"/>
      <c r="H518" s="24" t="s">
        <v>547</v>
      </c>
      <c r="I518" s="15" t="s">
        <v>1294</v>
      </c>
      <c r="J518" s="24"/>
      <c r="K518" s="24"/>
      <c r="M518" s="20" t="str">
        <f t="shared" si="8"/>
        <v>Leontodon boryi</v>
      </c>
    </row>
    <row r="519" spans="1:13" s="25" customFormat="1" ht="15" customHeight="1" x14ac:dyDescent="0.2">
      <c r="A519" s="15" t="s">
        <v>695</v>
      </c>
      <c r="B519" s="15">
        <v>711</v>
      </c>
      <c r="C519" s="21" t="s">
        <v>2271</v>
      </c>
      <c r="D519" s="15" t="s">
        <v>2272</v>
      </c>
      <c r="E519" s="23" t="s">
        <v>1293</v>
      </c>
      <c r="F519" s="24"/>
      <c r="G519" s="24"/>
      <c r="H519" s="24" t="s">
        <v>547</v>
      </c>
      <c r="I519" s="15" t="s">
        <v>1294</v>
      </c>
      <c r="J519" s="24"/>
      <c r="K519" s="24"/>
      <c r="M519" s="20" t="str">
        <f t="shared" si="8"/>
        <v>Leontodon microcephalus</v>
      </c>
    </row>
    <row r="520" spans="1:13" s="25" customFormat="1" ht="15" customHeight="1" x14ac:dyDescent="0.2">
      <c r="A520" s="15" t="s">
        <v>695</v>
      </c>
      <c r="B520" s="15">
        <v>5598</v>
      </c>
      <c r="C520" s="21" t="s">
        <v>2273</v>
      </c>
      <c r="D520" s="15" t="s">
        <v>2274</v>
      </c>
      <c r="E520" s="23" t="s">
        <v>1293</v>
      </c>
      <c r="F520" s="24"/>
      <c r="G520" s="24"/>
      <c r="H520" s="24" t="s">
        <v>547</v>
      </c>
      <c r="I520" s="15" t="s">
        <v>1294</v>
      </c>
      <c r="J520" s="24"/>
      <c r="K520" s="24"/>
      <c r="M520" s="20" t="str">
        <f t="shared" si="8"/>
        <v>Lepidium cardamines</v>
      </c>
    </row>
    <row r="521" spans="1:13" s="25" customFormat="1" ht="15" customHeight="1" x14ac:dyDescent="0.2">
      <c r="A521" s="15" t="s">
        <v>695</v>
      </c>
      <c r="B521" s="15">
        <v>33085</v>
      </c>
      <c r="C521" s="21" t="s">
        <v>2275</v>
      </c>
      <c r="D521" s="15" t="s">
        <v>2276</v>
      </c>
      <c r="E521" s="23" t="s">
        <v>1293</v>
      </c>
      <c r="F521" s="24" t="s">
        <v>2277</v>
      </c>
      <c r="G521" s="24"/>
      <c r="H521" s="24" t="s">
        <v>547</v>
      </c>
      <c r="I521" s="15" t="s">
        <v>1294</v>
      </c>
      <c r="J521" s="24"/>
      <c r="K521" s="24"/>
      <c r="M521" s="20" t="str">
        <f t="shared" si="8"/>
        <v>Limonium arborescens</v>
      </c>
    </row>
    <row r="522" spans="1:13" s="25" customFormat="1" ht="15" customHeight="1" x14ac:dyDescent="0.2">
      <c r="A522" s="15" t="s">
        <v>695</v>
      </c>
      <c r="B522" s="15">
        <v>935</v>
      </c>
      <c r="C522" s="21" t="s">
        <v>2278</v>
      </c>
      <c r="D522" s="15" t="s">
        <v>2279</v>
      </c>
      <c r="E522" s="23" t="s">
        <v>1293</v>
      </c>
      <c r="F522" s="24" t="s">
        <v>2280</v>
      </c>
      <c r="G522" s="24"/>
      <c r="H522" s="24" t="s">
        <v>1300</v>
      </c>
      <c r="I522" s="15" t="s">
        <v>1294</v>
      </c>
      <c r="J522" s="24"/>
      <c r="K522" s="24"/>
      <c r="M522" s="20" t="str">
        <f t="shared" si="8"/>
        <v>Limonium dendroides</v>
      </c>
    </row>
    <row r="523" spans="1:13" s="25" customFormat="1" ht="15" customHeight="1" x14ac:dyDescent="0.2">
      <c r="A523" s="15" t="s">
        <v>695</v>
      </c>
      <c r="B523" s="15">
        <v>5768</v>
      </c>
      <c r="C523" s="21" t="s">
        <v>2281</v>
      </c>
      <c r="D523" s="15" t="s">
        <v>2282</v>
      </c>
      <c r="E523" s="23" t="s">
        <v>1293</v>
      </c>
      <c r="F523" s="24"/>
      <c r="G523" s="24"/>
      <c r="H523" s="24" t="s">
        <v>547</v>
      </c>
      <c r="I523" s="15" t="s">
        <v>1294</v>
      </c>
      <c r="J523" s="24"/>
      <c r="K523" s="24"/>
      <c r="M523" s="20" t="str">
        <f t="shared" si="8"/>
        <v>Limonium dodartii</v>
      </c>
    </row>
    <row r="524" spans="1:13" ht="15" customHeight="1" x14ac:dyDescent="0.2">
      <c r="A524" s="14" t="s">
        <v>695</v>
      </c>
      <c r="B524" s="15">
        <v>33087</v>
      </c>
      <c r="C524" s="16" t="s">
        <v>2283</v>
      </c>
      <c r="D524" s="15" t="s">
        <v>2284</v>
      </c>
      <c r="E524" s="17" t="s">
        <v>1293</v>
      </c>
      <c r="F524" s="18" t="s">
        <v>2285</v>
      </c>
      <c r="G524" s="18"/>
      <c r="H524" s="18" t="s">
        <v>547</v>
      </c>
      <c r="I524" s="14" t="s">
        <v>1294</v>
      </c>
      <c r="J524" s="18"/>
      <c r="K524" s="18"/>
      <c r="M524" s="20" t="str">
        <f t="shared" si="8"/>
        <v>Limonium fruticans</v>
      </c>
    </row>
    <row r="525" spans="1:13" ht="15" customHeight="1" x14ac:dyDescent="0.2">
      <c r="A525" s="14" t="s">
        <v>695</v>
      </c>
      <c r="B525" s="15">
        <v>5828</v>
      </c>
      <c r="C525" s="16" t="s">
        <v>2286</v>
      </c>
      <c r="D525" s="14" t="s">
        <v>2287</v>
      </c>
      <c r="E525" s="17" t="s">
        <v>1293</v>
      </c>
      <c r="F525" s="18"/>
      <c r="G525" s="18"/>
      <c r="H525" s="18" t="s">
        <v>562</v>
      </c>
      <c r="I525" s="14" t="s">
        <v>1411</v>
      </c>
      <c r="J525" s="18"/>
      <c r="K525" s="18"/>
      <c r="M525" s="20" t="str">
        <f t="shared" si="8"/>
        <v>Limonium geronense</v>
      </c>
    </row>
    <row r="526" spans="1:13" ht="15" customHeight="1" x14ac:dyDescent="0.2">
      <c r="A526" s="14" t="s">
        <v>695</v>
      </c>
      <c r="B526" s="15">
        <v>5842</v>
      </c>
      <c r="C526" s="16" t="s">
        <v>2288</v>
      </c>
      <c r="D526" s="14" t="s">
        <v>2289</v>
      </c>
      <c r="E526" s="17" t="s">
        <v>1293</v>
      </c>
      <c r="F526" s="18" t="s">
        <v>2290</v>
      </c>
      <c r="G526" s="18"/>
      <c r="H526" s="18" t="s">
        <v>547</v>
      </c>
      <c r="I526" s="14" t="s">
        <v>1411</v>
      </c>
      <c r="J526" s="18" t="s">
        <v>2291</v>
      </c>
      <c r="K526" s="35"/>
      <c r="M526" s="20" t="str">
        <f t="shared" si="8"/>
        <v>Limonium magallufianum</v>
      </c>
    </row>
    <row r="527" spans="1:13" ht="15" customHeight="1" x14ac:dyDescent="0.2">
      <c r="A527" s="14" t="s">
        <v>695</v>
      </c>
      <c r="B527" s="15">
        <v>5843</v>
      </c>
      <c r="C527" s="16" t="s">
        <v>2292</v>
      </c>
      <c r="D527" s="15" t="s">
        <v>2293</v>
      </c>
      <c r="E527" s="17" t="s">
        <v>1293</v>
      </c>
      <c r="F527" s="18" t="s">
        <v>2294</v>
      </c>
      <c r="G527" s="18"/>
      <c r="H527" s="18" t="s">
        <v>547</v>
      </c>
      <c r="I527" s="14" t="s">
        <v>1294</v>
      </c>
      <c r="J527" s="18"/>
      <c r="K527" s="18"/>
      <c r="M527" s="20" t="str">
        <f t="shared" si="8"/>
        <v>Limonium majoricum</v>
      </c>
    </row>
    <row r="528" spans="1:13" ht="15" customHeight="1" x14ac:dyDescent="0.2">
      <c r="A528" s="14" t="s">
        <v>695</v>
      </c>
      <c r="B528" s="15">
        <v>5845</v>
      </c>
      <c r="C528" s="16" t="s">
        <v>1235</v>
      </c>
      <c r="D528" s="15" t="s">
        <v>2295</v>
      </c>
      <c r="E528" s="17" t="s">
        <v>1293</v>
      </c>
      <c r="F528" s="18" t="s">
        <v>1236</v>
      </c>
      <c r="G528" s="18"/>
      <c r="H528" s="18" t="s">
        <v>1300</v>
      </c>
      <c r="I528" s="14" t="s">
        <v>1294</v>
      </c>
      <c r="J528" s="18"/>
      <c r="K528" s="18"/>
      <c r="M528" s="20" t="str">
        <f t="shared" si="8"/>
        <v>Limonium malacitanum</v>
      </c>
    </row>
    <row r="529" spans="1:13" ht="15" customHeight="1" x14ac:dyDescent="0.2">
      <c r="A529" s="14" t="s">
        <v>695</v>
      </c>
      <c r="B529" s="15">
        <v>5856</v>
      </c>
      <c r="C529" s="16" t="s">
        <v>1220</v>
      </c>
      <c r="D529" s="14" t="s">
        <v>2296</v>
      </c>
      <c r="E529" s="17" t="s">
        <v>1293</v>
      </c>
      <c r="F529" s="18" t="s">
        <v>2297</v>
      </c>
      <c r="G529" s="18"/>
      <c r="H529" s="18" t="s">
        <v>547</v>
      </c>
      <c r="I529" s="14" t="s">
        <v>1294</v>
      </c>
      <c r="J529" s="18"/>
      <c r="K529" s="18"/>
      <c r="M529" s="20" t="str">
        <f t="shared" si="8"/>
        <v>Limonium ovalifolium</v>
      </c>
    </row>
    <row r="530" spans="1:13" ht="15" customHeight="1" x14ac:dyDescent="0.2">
      <c r="A530" s="14" t="s">
        <v>695</v>
      </c>
      <c r="B530" s="15">
        <v>1030</v>
      </c>
      <c r="C530" s="16" t="s">
        <v>2298</v>
      </c>
      <c r="D530" s="14" t="s">
        <v>2299</v>
      </c>
      <c r="E530" s="17" t="s">
        <v>1293</v>
      </c>
      <c r="F530" s="18" t="s">
        <v>2300</v>
      </c>
      <c r="G530" s="18"/>
      <c r="H530" s="18" t="s">
        <v>547</v>
      </c>
      <c r="I530" s="14" t="s">
        <v>1294</v>
      </c>
      <c r="J530" s="18"/>
      <c r="K530" s="18"/>
      <c r="M530" s="20" t="str">
        <f t="shared" si="8"/>
        <v>Limonium perezii</v>
      </c>
    </row>
    <row r="531" spans="1:13" s="25" customFormat="1" ht="15" customHeight="1" x14ac:dyDescent="0.2">
      <c r="A531" s="15" t="s">
        <v>695</v>
      </c>
      <c r="B531" s="15">
        <v>487</v>
      </c>
      <c r="C531" s="21" t="s">
        <v>2301</v>
      </c>
      <c r="D531" s="15" t="s">
        <v>2302</v>
      </c>
      <c r="E531" s="23" t="s">
        <v>1293</v>
      </c>
      <c r="F531" s="24" t="s">
        <v>2303</v>
      </c>
      <c r="G531" s="24"/>
      <c r="H531" s="63" t="s">
        <v>562</v>
      </c>
      <c r="I531" s="15" t="s">
        <v>1483</v>
      </c>
      <c r="J531" s="24" t="s">
        <v>2291</v>
      </c>
      <c r="K531" s="24"/>
      <c r="M531" s="20" t="str">
        <f t="shared" si="8"/>
        <v>Limonium perplexum</v>
      </c>
    </row>
    <row r="532" spans="1:13" ht="15" customHeight="1" x14ac:dyDescent="0.2">
      <c r="A532" s="14" t="s">
        <v>695</v>
      </c>
      <c r="B532" s="15">
        <v>944</v>
      </c>
      <c r="C532" s="16" t="s">
        <v>2304</v>
      </c>
      <c r="D532" s="14" t="s">
        <v>2305</v>
      </c>
      <c r="E532" s="17" t="s">
        <v>1293</v>
      </c>
      <c r="F532" s="18" t="s">
        <v>2306</v>
      </c>
      <c r="G532" s="18"/>
      <c r="H532" s="18" t="s">
        <v>547</v>
      </c>
      <c r="I532" s="14" t="s">
        <v>1294</v>
      </c>
      <c r="J532" s="18"/>
      <c r="K532" s="18"/>
      <c r="M532" s="20" t="str">
        <f t="shared" si="8"/>
        <v>Limonium preauxii</v>
      </c>
    </row>
    <row r="533" spans="1:13" ht="12.75" customHeight="1" x14ac:dyDescent="0.2">
      <c r="A533" s="14" t="s">
        <v>695</v>
      </c>
      <c r="B533" s="15">
        <v>5879</v>
      </c>
      <c r="C533" s="16" t="s">
        <v>2307</v>
      </c>
      <c r="D533" s="14" t="s">
        <v>2308</v>
      </c>
      <c r="E533" s="17" t="s">
        <v>1293</v>
      </c>
      <c r="F533" s="18" t="s">
        <v>2290</v>
      </c>
      <c r="G533" s="18"/>
      <c r="H533" s="18" t="s">
        <v>1300</v>
      </c>
      <c r="I533" s="14" t="s">
        <v>1294</v>
      </c>
      <c r="J533" s="18"/>
      <c r="K533" s="18"/>
      <c r="M533" s="20" t="str">
        <f t="shared" si="8"/>
        <v>Limonium pseudodictyocladum</v>
      </c>
    </row>
    <row r="534" spans="1:13" ht="15" customHeight="1" x14ac:dyDescent="0.2">
      <c r="A534" s="14" t="s">
        <v>695</v>
      </c>
      <c r="B534" s="15">
        <v>947</v>
      </c>
      <c r="C534" s="16" t="s">
        <v>2309</v>
      </c>
      <c r="D534" s="14" t="s">
        <v>2310</v>
      </c>
      <c r="E534" s="17" t="s">
        <v>1293</v>
      </c>
      <c r="F534" s="18" t="s">
        <v>2311</v>
      </c>
      <c r="G534" s="18"/>
      <c r="H534" s="18" t="s">
        <v>1300</v>
      </c>
      <c r="I534" s="14" t="s">
        <v>1294</v>
      </c>
      <c r="J534" s="18"/>
      <c r="K534" s="18"/>
      <c r="M534" s="20" t="str">
        <f t="shared" si="8"/>
        <v>Limonium spectabile</v>
      </c>
    </row>
    <row r="535" spans="1:13" ht="15" customHeight="1" x14ac:dyDescent="0.2">
      <c r="A535" s="14" t="s">
        <v>695</v>
      </c>
      <c r="B535" s="15">
        <v>948</v>
      </c>
      <c r="C535" s="16" t="s">
        <v>2312</v>
      </c>
      <c r="D535" s="14" t="s">
        <v>2313</v>
      </c>
      <c r="E535" s="17" t="s">
        <v>1293</v>
      </c>
      <c r="F535" s="18" t="s">
        <v>2314</v>
      </c>
      <c r="G535" s="18"/>
      <c r="H535" s="18" t="s">
        <v>562</v>
      </c>
      <c r="I535" s="14" t="s">
        <v>1294</v>
      </c>
      <c r="J535" s="18"/>
      <c r="K535" s="18"/>
      <c r="M535" s="20" t="str">
        <f t="shared" si="8"/>
        <v>Limonium sventenii</v>
      </c>
    </row>
    <row r="536" spans="1:13" ht="15" customHeight="1" x14ac:dyDescent="0.2">
      <c r="A536" s="14" t="s">
        <v>695</v>
      </c>
      <c r="B536" s="15">
        <v>490</v>
      </c>
      <c r="C536" s="16" t="s">
        <v>2315</v>
      </c>
      <c r="D536" s="15" t="s">
        <v>2316</v>
      </c>
      <c r="E536" s="17" t="s">
        <v>1293</v>
      </c>
      <c r="F536" s="18"/>
      <c r="G536" s="18"/>
      <c r="H536" s="18" t="s">
        <v>1300</v>
      </c>
      <c r="I536" s="14" t="s">
        <v>1411</v>
      </c>
      <c r="J536" s="18"/>
      <c r="K536" s="18"/>
      <c r="M536" s="20" t="str">
        <f t="shared" si="8"/>
        <v>Limonium vigoi</v>
      </c>
    </row>
    <row r="537" spans="1:13" ht="15" customHeight="1" x14ac:dyDescent="0.2">
      <c r="A537" s="14" t="s">
        <v>695</v>
      </c>
      <c r="B537" s="15">
        <v>5984</v>
      </c>
      <c r="C537" s="16" t="s">
        <v>1186</v>
      </c>
      <c r="D537" s="14" t="s">
        <v>2317</v>
      </c>
      <c r="E537" s="17" t="s">
        <v>1293</v>
      </c>
      <c r="F537" s="18"/>
      <c r="G537" s="18"/>
      <c r="H537" s="18" t="s">
        <v>562</v>
      </c>
      <c r="I537" s="14" t="s">
        <v>1294</v>
      </c>
      <c r="J537" s="18"/>
      <c r="K537" s="18"/>
      <c r="M537" s="20" t="str">
        <f t="shared" si="8"/>
        <v>Linaria tursica</v>
      </c>
    </row>
    <row r="538" spans="1:13" ht="15" customHeight="1" x14ac:dyDescent="0.2">
      <c r="A538" s="14" t="s">
        <v>695</v>
      </c>
      <c r="B538" s="15">
        <v>5996</v>
      </c>
      <c r="C538" s="16" t="s">
        <v>2318</v>
      </c>
      <c r="D538" s="14" t="s">
        <v>2319</v>
      </c>
      <c r="E538" s="17" t="s">
        <v>1293</v>
      </c>
      <c r="F538" s="18"/>
      <c r="G538" s="18"/>
      <c r="H538" s="18" t="s">
        <v>547</v>
      </c>
      <c r="I538" s="14" t="s">
        <v>1294</v>
      </c>
      <c r="J538" s="18"/>
      <c r="K538" s="18"/>
      <c r="M538" s="20" t="str">
        <f t="shared" si="8"/>
        <v>Lindernia procumbens</v>
      </c>
    </row>
    <row r="539" spans="1:13" ht="15" customHeight="1" x14ac:dyDescent="0.2">
      <c r="A539" s="14" t="s">
        <v>695</v>
      </c>
      <c r="B539" s="15">
        <v>4986</v>
      </c>
      <c r="C539" s="16" t="s">
        <v>1196</v>
      </c>
      <c r="D539" s="15" t="s">
        <v>2320</v>
      </c>
      <c r="E539" s="17" t="s">
        <v>1293</v>
      </c>
      <c r="F539" s="18"/>
      <c r="G539" s="18"/>
      <c r="H539" s="18" t="s">
        <v>1300</v>
      </c>
      <c r="I539" s="14" t="s">
        <v>1294</v>
      </c>
      <c r="J539" s="18"/>
      <c r="K539" s="18"/>
      <c r="M539" s="20" t="str">
        <f t="shared" si="8"/>
        <v>Lithodora nitida</v>
      </c>
    </row>
    <row r="540" spans="1:13" ht="15" customHeight="1" x14ac:dyDescent="0.2">
      <c r="A540" s="14" t="s">
        <v>695</v>
      </c>
      <c r="B540" s="15">
        <v>13296</v>
      </c>
      <c r="C540" s="16" t="s">
        <v>2321</v>
      </c>
      <c r="D540" s="14" t="s">
        <v>2322</v>
      </c>
      <c r="E540" s="17" t="s">
        <v>1293</v>
      </c>
      <c r="F540" s="18"/>
      <c r="G540" s="18" t="s">
        <v>1774</v>
      </c>
      <c r="H540" s="18" t="s">
        <v>547</v>
      </c>
      <c r="I540" s="14" t="s">
        <v>1294</v>
      </c>
      <c r="J540" s="18"/>
      <c r="K540" s="16"/>
      <c r="M540" s="20" t="str">
        <f t="shared" si="8"/>
        <v>Lythophyllum byssoides</v>
      </c>
    </row>
    <row r="541" spans="1:13" ht="15" customHeight="1" x14ac:dyDescent="0.2">
      <c r="A541" s="14" t="s">
        <v>695</v>
      </c>
      <c r="B541" s="15">
        <v>952</v>
      </c>
      <c r="C541" s="16" t="s">
        <v>2323</v>
      </c>
      <c r="D541" s="14" t="s">
        <v>2324</v>
      </c>
      <c r="E541" s="17" t="s">
        <v>1293</v>
      </c>
      <c r="F541" s="18" t="s">
        <v>2325</v>
      </c>
      <c r="G541" s="18"/>
      <c r="H541" s="18" t="s">
        <v>1300</v>
      </c>
      <c r="I541" s="14" t="s">
        <v>1294</v>
      </c>
      <c r="J541" s="18"/>
      <c r="K541" s="18"/>
      <c r="M541" s="20" t="str">
        <f t="shared" si="8"/>
        <v>Lotus berthelotii</v>
      </c>
    </row>
    <row r="542" spans="1:13" ht="15" customHeight="1" x14ac:dyDescent="0.2">
      <c r="A542" s="14" t="s">
        <v>695</v>
      </c>
      <c r="B542" s="15">
        <v>953</v>
      </c>
      <c r="C542" s="16" t="s">
        <v>2326</v>
      </c>
      <c r="D542" s="14" t="s">
        <v>2327</v>
      </c>
      <c r="E542" s="17" t="s">
        <v>1293</v>
      </c>
      <c r="F542" s="18" t="s">
        <v>2328</v>
      </c>
      <c r="G542" s="18"/>
      <c r="H542" s="18" t="s">
        <v>547</v>
      </c>
      <c r="I542" s="14" t="s">
        <v>1294</v>
      </c>
      <c r="J542" s="18"/>
      <c r="K542" s="18"/>
      <c r="M542" s="20" t="str">
        <f t="shared" si="8"/>
        <v>Lotus callis-viridis</v>
      </c>
    </row>
    <row r="543" spans="1:13" ht="15" customHeight="1" x14ac:dyDescent="0.2">
      <c r="A543" s="14" t="s">
        <v>695</v>
      </c>
      <c r="B543" s="15">
        <v>954</v>
      </c>
      <c r="C543" s="16" t="s">
        <v>2329</v>
      </c>
      <c r="D543" s="14" t="s">
        <v>2330</v>
      </c>
      <c r="E543" s="17" t="s">
        <v>1293</v>
      </c>
      <c r="F543" s="18" t="s">
        <v>2331</v>
      </c>
      <c r="G543" s="18"/>
      <c r="H543" s="18" t="s">
        <v>1300</v>
      </c>
      <c r="I543" s="14" t="s">
        <v>1294</v>
      </c>
      <c r="J543" s="18"/>
      <c r="K543" s="18"/>
      <c r="M543" s="20" t="str">
        <f t="shared" si="8"/>
        <v>Lotus eremiticus</v>
      </c>
    </row>
    <row r="544" spans="1:13" s="25" customFormat="1" ht="15" customHeight="1" x14ac:dyDescent="0.25">
      <c r="A544" s="15" t="s">
        <v>695</v>
      </c>
      <c r="B544" s="31">
        <v>37538</v>
      </c>
      <c r="C544" s="28" t="s">
        <v>2332</v>
      </c>
      <c r="D544" s="56" t="s">
        <v>2333</v>
      </c>
      <c r="E544" s="32" t="s">
        <v>1293</v>
      </c>
      <c r="F544" s="32" t="s">
        <v>2334</v>
      </c>
      <c r="G544" s="32"/>
      <c r="H544" s="32" t="s">
        <v>1300</v>
      </c>
      <c r="I544" s="15" t="s">
        <v>1483</v>
      </c>
      <c r="J544" s="24"/>
      <c r="K544" s="24"/>
      <c r="M544" s="20" t="str">
        <f t="shared" si="8"/>
        <v>Lotus gomerythus A. Portero, J. Martín-Carbajal &amp; R. Mesa</v>
      </c>
    </row>
    <row r="545" spans="1:13" ht="15" customHeight="1" x14ac:dyDescent="0.2">
      <c r="A545" s="14" t="s">
        <v>695</v>
      </c>
      <c r="B545" s="15">
        <v>956</v>
      </c>
      <c r="C545" s="16" t="s">
        <v>2335</v>
      </c>
      <c r="D545" s="14" t="s">
        <v>2336</v>
      </c>
      <c r="E545" s="17" t="s">
        <v>1293</v>
      </c>
      <c r="F545" s="18" t="s">
        <v>2337</v>
      </c>
      <c r="G545" s="18"/>
      <c r="H545" s="18" t="s">
        <v>1300</v>
      </c>
      <c r="I545" s="14" t="s">
        <v>1294</v>
      </c>
      <c r="J545" s="18"/>
      <c r="K545" s="18"/>
      <c r="M545" s="20" t="str">
        <f t="shared" si="8"/>
        <v>Lotus kunkelii</v>
      </c>
    </row>
    <row r="546" spans="1:13" ht="15" customHeight="1" x14ac:dyDescent="0.2">
      <c r="A546" s="14" t="s">
        <v>695</v>
      </c>
      <c r="B546" s="15">
        <v>957</v>
      </c>
      <c r="C546" s="16" t="s">
        <v>2338</v>
      </c>
      <c r="D546" s="14" t="s">
        <v>2339</v>
      </c>
      <c r="E546" s="17" t="s">
        <v>1293</v>
      </c>
      <c r="F546" s="18" t="s">
        <v>2340</v>
      </c>
      <c r="G546" s="18"/>
      <c r="H546" s="18" t="s">
        <v>1300</v>
      </c>
      <c r="I546" s="14" t="s">
        <v>1294</v>
      </c>
      <c r="J546" s="18"/>
      <c r="K546" s="18"/>
      <c r="M546" s="20" t="str">
        <f t="shared" si="8"/>
        <v>Lotus maculatus</v>
      </c>
    </row>
    <row r="547" spans="1:13" ht="15" customHeight="1" x14ac:dyDescent="0.2">
      <c r="A547" s="14" t="s">
        <v>695</v>
      </c>
      <c r="B547" s="15">
        <v>958</v>
      </c>
      <c r="C547" s="16" t="s">
        <v>2341</v>
      </c>
      <c r="D547" s="14" t="s">
        <v>2342</v>
      </c>
      <c r="E547" s="17" t="s">
        <v>1293</v>
      </c>
      <c r="F547" s="18" t="s">
        <v>2343</v>
      </c>
      <c r="G547" s="18"/>
      <c r="H547" s="18" t="s">
        <v>1300</v>
      </c>
      <c r="I547" s="14" t="s">
        <v>1294</v>
      </c>
      <c r="J547" s="18"/>
      <c r="K547" s="18"/>
      <c r="M547" s="20" t="str">
        <f t="shared" si="8"/>
        <v>Lotus pyranthus</v>
      </c>
    </row>
    <row r="548" spans="1:13" ht="15" customHeight="1" x14ac:dyDescent="0.2">
      <c r="A548" s="14" t="s">
        <v>695</v>
      </c>
      <c r="B548" s="15">
        <v>6093</v>
      </c>
      <c r="C548" s="16" t="s">
        <v>2344</v>
      </c>
      <c r="D548" s="14" t="s">
        <v>2345</v>
      </c>
      <c r="E548" s="17" t="s">
        <v>1293</v>
      </c>
      <c r="F548" s="18"/>
      <c r="G548" s="18"/>
      <c r="H548" s="18" t="s">
        <v>1300</v>
      </c>
      <c r="I548" s="14" t="s">
        <v>1294</v>
      </c>
      <c r="J548" s="18"/>
      <c r="K548" s="18"/>
      <c r="M548" s="20" t="str">
        <f t="shared" si="8"/>
        <v>Luronium natans</v>
      </c>
    </row>
    <row r="549" spans="1:13" ht="15" customHeight="1" x14ac:dyDescent="0.2">
      <c r="A549" s="14" t="s">
        <v>695</v>
      </c>
      <c r="B549" s="15">
        <v>5808</v>
      </c>
      <c r="C549" s="16" t="s">
        <v>2346</v>
      </c>
      <c r="D549" s="14" t="s">
        <v>2347</v>
      </c>
      <c r="E549" s="17" t="s">
        <v>1293</v>
      </c>
      <c r="F549" s="18" t="s">
        <v>2348</v>
      </c>
      <c r="G549" s="18"/>
      <c r="H549" s="18" t="s">
        <v>1300</v>
      </c>
      <c r="I549" s="14" t="s">
        <v>1294</v>
      </c>
      <c r="J549" s="18"/>
      <c r="K549" s="18"/>
      <c r="M549" s="20" t="str">
        <f t="shared" si="8"/>
        <v>Lysimachia minoricensis</v>
      </c>
    </row>
    <row r="550" spans="1:13" ht="15" customHeight="1" x14ac:dyDescent="0.2">
      <c r="A550" s="14" t="s">
        <v>695</v>
      </c>
      <c r="B550" s="15">
        <v>6119</v>
      </c>
      <c r="C550" s="16" t="s">
        <v>2349</v>
      </c>
      <c r="D550" s="14" t="s">
        <v>2350</v>
      </c>
      <c r="E550" s="17" t="s">
        <v>1293</v>
      </c>
      <c r="F550" s="18" t="s">
        <v>2351</v>
      </c>
      <c r="G550" s="18"/>
      <c r="H550" s="18" t="s">
        <v>547</v>
      </c>
      <c r="I550" s="14" t="s">
        <v>1294</v>
      </c>
      <c r="J550" s="18"/>
      <c r="K550" s="18"/>
      <c r="M550" s="20" t="str">
        <f t="shared" si="8"/>
        <v>Lythrum flexuosum</v>
      </c>
    </row>
    <row r="551" spans="1:13" ht="15" customHeight="1" x14ac:dyDescent="0.2">
      <c r="A551" s="14" t="s">
        <v>695</v>
      </c>
      <c r="B551" s="15">
        <v>6224</v>
      </c>
      <c r="C551" s="16" t="s">
        <v>1239</v>
      </c>
      <c r="D551" s="14" t="s">
        <v>2352</v>
      </c>
      <c r="E551" s="17" t="s">
        <v>1293</v>
      </c>
      <c r="F551" s="18"/>
      <c r="G551" s="18"/>
      <c r="H551" s="18" t="s">
        <v>1300</v>
      </c>
      <c r="I551" s="14" t="s">
        <v>1294</v>
      </c>
      <c r="J551" s="18"/>
      <c r="K551" s="18"/>
      <c r="M551" s="20" t="str">
        <f t="shared" si="8"/>
        <v>Marsilea batardae</v>
      </c>
    </row>
    <row r="552" spans="1:13" ht="15" customHeight="1" x14ac:dyDescent="0.2">
      <c r="A552" s="14" t="s">
        <v>695</v>
      </c>
      <c r="B552" s="15">
        <v>6226</v>
      </c>
      <c r="C552" s="16" t="s">
        <v>2353</v>
      </c>
      <c r="D552" s="14" t="s">
        <v>2354</v>
      </c>
      <c r="E552" s="17" t="s">
        <v>1293</v>
      </c>
      <c r="F552" s="18" t="s">
        <v>1240</v>
      </c>
      <c r="G552" s="18"/>
      <c r="H552" s="18" t="s">
        <v>1300</v>
      </c>
      <c r="I552" s="14" t="s">
        <v>1294</v>
      </c>
      <c r="J552" s="18"/>
      <c r="K552" s="18"/>
      <c r="M552" s="20" t="str">
        <f t="shared" si="8"/>
        <v>Marsilea quadrifolia</v>
      </c>
    </row>
    <row r="553" spans="1:13" ht="15" customHeight="1" x14ac:dyDescent="0.2">
      <c r="A553" s="14" t="s">
        <v>695</v>
      </c>
      <c r="B553" s="15">
        <v>6227</v>
      </c>
      <c r="C553" s="16" t="s">
        <v>1244</v>
      </c>
      <c r="D553" s="14" t="s">
        <v>2355</v>
      </c>
      <c r="E553" s="17" t="s">
        <v>1293</v>
      </c>
      <c r="F553" s="18"/>
      <c r="G553" s="18"/>
      <c r="H553" s="18" t="s">
        <v>547</v>
      </c>
      <c r="I553" s="14" t="s">
        <v>1294</v>
      </c>
      <c r="J553" s="18"/>
      <c r="K553" s="18"/>
      <c r="M553" s="20" t="str">
        <f t="shared" si="8"/>
        <v>Marsilea strigosa</v>
      </c>
    </row>
    <row r="554" spans="1:13" ht="15" customHeight="1" x14ac:dyDescent="0.2">
      <c r="A554" s="14" t="s">
        <v>695</v>
      </c>
      <c r="B554" s="15">
        <v>24254</v>
      </c>
      <c r="C554" s="16" t="s">
        <v>2356</v>
      </c>
      <c r="D554" s="14" t="s">
        <v>2357</v>
      </c>
      <c r="E554" s="17" t="s">
        <v>1293</v>
      </c>
      <c r="F554" s="18"/>
      <c r="G554" s="18"/>
      <c r="H554" s="18" t="s">
        <v>547</v>
      </c>
      <c r="I554" s="14" t="s">
        <v>1294</v>
      </c>
      <c r="J554" s="18"/>
      <c r="K554" s="18"/>
      <c r="M554" s="20" t="str">
        <f t="shared" si="8"/>
        <v>Marsupella profunda</v>
      </c>
    </row>
    <row r="555" spans="1:13" ht="15" customHeight="1" x14ac:dyDescent="0.2">
      <c r="A555" s="14" t="s">
        <v>695</v>
      </c>
      <c r="B555" s="15">
        <v>6264</v>
      </c>
      <c r="C555" s="16" t="s">
        <v>2358</v>
      </c>
      <c r="D555" s="14" t="s">
        <v>2359</v>
      </c>
      <c r="E555" s="17" t="s">
        <v>1293</v>
      </c>
      <c r="F555" s="18" t="s">
        <v>2360</v>
      </c>
      <c r="G555" s="18"/>
      <c r="H555" s="18" t="s">
        <v>562</v>
      </c>
      <c r="I555" s="14" t="s">
        <v>1294</v>
      </c>
      <c r="J555" s="18"/>
      <c r="K555" s="18"/>
      <c r="M555" s="20" t="str">
        <f t="shared" si="8"/>
        <v>Medicago citrina</v>
      </c>
    </row>
    <row r="556" spans="1:13" ht="15" customHeight="1" x14ac:dyDescent="0.2">
      <c r="A556" s="14" t="s">
        <v>695</v>
      </c>
      <c r="B556" s="15">
        <v>960</v>
      </c>
      <c r="C556" s="16" t="s">
        <v>2361</v>
      </c>
      <c r="D556" s="14" t="s">
        <v>2362</v>
      </c>
      <c r="E556" s="17" t="s">
        <v>1293</v>
      </c>
      <c r="F556" s="18" t="s">
        <v>2363</v>
      </c>
      <c r="G556" s="18"/>
      <c r="H556" s="18" t="s">
        <v>1300</v>
      </c>
      <c r="I556" s="14" t="s">
        <v>1294</v>
      </c>
      <c r="J556" s="18"/>
      <c r="K556" s="18"/>
      <c r="M556" s="20" t="str">
        <f t="shared" si="8"/>
        <v>Micromeria glomerata</v>
      </c>
    </row>
    <row r="557" spans="1:13" s="25" customFormat="1" ht="15" customHeight="1" x14ac:dyDescent="0.2">
      <c r="A557" s="15" t="s">
        <v>695</v>
      </c>
      <c r="B557" s="15">
        <v>961</v>
      </c>
      <c r="C557" s="21" t="s">
        <v>2364</v>
      </c>
      <c r="D557" s="22" t="s">
        <v>2365</v>
      </c>
      <c r="E557" s="23" t="s">
        <v>1293</v>
      </c>
      <c r="F557" s="24" t="s">
        <v>2366</v>
      </c>
      <c r="G557" s="24"/>
      <c r="H557" s="24" t="s">
        <v>547</v>
      </c>
      <c r="I557" s="15" t="s">
        <v>1294</v>
      </c>
      <c r="J557" s="24"/>
      <c r="K557" s="24"/>
      <c r="M557" s="20" t="str">
        <f t="shared" si="8"/>
        <v>Micromeria leucantha</v>
      </c>
    </row>
    <row r="558" spans="1:13" s="25" customFormat="1" ht="15" customHeight="1" x14ac:dyDescent="0.2">
      <c r="A558" s="15" t="s">
        <v>695</v>
      </c>
      <c r="B558" s="15">
        <v>964</v>
      </c>
      <c r="C558" s="21" t="s">
        <v>1256</v>
      </c>
      <c r="D558" s="22" t="s">
        <v>2367</v>
      </c>
      <c r="E558" s="23" t="s">
        <v>1293</v>
      </c>
      <c r="F558" s="24"/>
      <c r="G558" s="24"/>
      <c r="H558" s="24" t="s">
        <v>547</v>
      </c>
      <c r="I558" s="15" t="s">
        <v>1294</v>
      </c>
      <c r="J558" s="24"/>
      <c r="K558" s="24"/>
      <c r="M558" s="20" t="str">
        <f t="shared" si="8"/>
        <v>Micropyropsis tuberosa</v>
      </c>
    </row>
    <row r="559" spans="1:13" s="25" customFormat="1" ht="15" customHeight="1" x14ac:dyDescent="0.2">
      <c r="A559" s="15" t="s">
        <v>695</v>
      </c>
      <c r="B559" s="15">
        <v>6375</v>
      </c>
      <c r="C559" s="21" t="s">
        <v>1187</v>
      </c>
      <c r="D559" s="56" t="s">
        <v>2368</v>
      </c>
      <c r="E559" s="23" t="s">
        <v>1293</v>
      </c>
      <c r="F559" s="24"/>
      <c r="G559" s="24"/>
      <c r="H559" s="24" t="s">
        <v>547</v>
      </c>
      <c r="I559" s="15" t="s">
        <v>1294</v>
      </c>
      <c r="J559" s="24"/>
      <c r="K559" s="24"/>
      <c r="M559" s="20" t="str">
        <f t="shared" si="8"/>
        <v>Moehringia fontqueri</v>
      </c>
    </row>
    <row r="560" spans="1:13" s="25" customFormat="1" ht="15" customHeight="1" x14ac:dyDescent="0.2">
      <c r="A560" s="15" t="s">
        <v>695</v>
      </c>
      <c r="B560" s="15">
        <v>965</v>
      </c>
      <c r="C560" s="21" t="s">
        <v>2369</v>
      </c>
      <c r="D560" s="22" t="s">
        <v>2370</v>
      </c>
      <c r="E560" s="23" t="s">
        <v>1293</v>
      </c>
      <c r="F560" s="24" t="s">
        <v>2371</v>
      </c>
      <c r="G560" s="24"/>
      <c r="H560" s="24" t="s">
        <v>547</v>
      </c>
      <c r="I560" s="15" t="s">
        <v>1294</v>
      </c>
      <c r="J560" s="24"/>
      <c r="K560" s="24"/>
      <c r="M560" s="20" t="str">
        <f t="shared" si="8"/>
        <v>Monanthes wildpretii</v>
      </c>
    </row>
    <row r="561" spans="1:13" s="25" customFormat="1" ht="15" customHeight="1" x14ac:dyDescent="0.2">
      <c r="A561" s="15" t="s">
        <v>695</v>
      </c>
      <c r="B561" s="15">
        <v>31880</v>
      </c>
      <c r="C561" s="21" t="s">
        <v>2372</v>
      </c>
      <c r="D561" s="15" t="s">
        <v>2373</v>
      </c>
      <c r="E561" s="23" t="s">
        <v>1293</v>
      </c>
      <c r="F561" s="24" t="s">
        <v>2374</v>
      </c>
      <c r="G561" s="24"/>
      <c r="H561" s="24" t="s">
        <v>1300</v>
      </c>
      <c r="I561" s="15" t="s">
        <v>1294</v>
      </c>
      <c r="J561" s="24"/>
      <c r="K561" s="24"/>
      <c r="M561" s="20" t="str">
        <f t="shared" si="8"/>
        <v>Myrica rivas-martinezii</v>
      </c>
    </row>
    <row r="562" spans="1:13" s="25" customFormat="1" ht="15" customHeight="1" x14ac:dyDescent="0.2">
      <c r="A562" s="15" t="s">
        <v>695</v>
      </c>
      <c r="B562" s="15">
        <v>9445</v>
      </c>
      <c r="C562" s="43" t="s">
        <v>2375</v>
      </c>
      <c r="D562" s="22" t="s">
        <v>2376</v>
      </c>
      <c r="E562" s="23" t="s">
        <v>1293</v>
      </c>
      <c r="F562" s="24" t="s">
        <v>2377</v>
      </c>
      <c r="G562" s="24" t="s">
        <v>1465</v>
      </c>
      <c r="H562" s="24" t="s">
        <v>562</v>
      </c>
      <c r="I562" s="15" t="s">
        <v>1294</v>
      </c>
      <c r="J562" s="24"/>
      <c r="K562" s="24"/>
      <c r="M562" s="20" t="str">
        <f t="shared" si="8"/>
        <v>Nanozostera noltii</v>
      </c>
    </row>
    <row r="563" spans="1:13" s="25" customFormat="1" ht="15" customHeight="1" x14ac:dyDescent="0.2">
      <c r="A563" s="15" t="s">
        <v>695</v>
      </c>
      <c r="B563" s="15">
        <v>9445</v>
      </c>
      <c r="C563" s="43" t="s">
        <v>2375</v>
      </c>
      <c r="D563" s="22" t="s">
        <v>2376</v>
      </c>
      <c r="E563" s="23" t="s">
        <v>1293</v>
      </c>
      <c r="F563" s="24" t="s">
        <v>2377</v>
      </c>
      <c r="G563" s="24" t="s">
        <v>2052</v>
      </c>
      <c r="H563" s="24" t="s">
        <v>547</v>
      </c>
      <c r="I563" s="15" t="s">
        <v>1294</v>
      </c>
      <c r="J563" s="24"/>
      <c r="K563" s="24"/>
      <c r="M563" s="20" t="str">
        <f t="shared" si="8"/>
        <v>Nanozostera noltii</v>
      </c>
    </row>
    <row r="564" spans="1:13" s="25" customFormat="1" ht="15" customHeight="1" x14ac:dyDescent="0.2">
      <c r="A564" s="15" t="s">
        <v>695</v>
      </c>
      <c r="B564" s="15">
        <v>6525</v>
      </c>
      <c r="C564" s="21" t="s">
        <v>2378</v>
      </c>
      <c r="D564" s="22" t="s">
        <v>2379</v>
      </c>
      <c r="E564" s="23" t="s">
        <v>1318</v>
      </c>
      <c r="F564" s="24" t="s">
        <v>2380</v>
      </c>
      <c r="G564" s="24"/>
      <c r="H564" s="24" t="s">
        <v>547</v>
      </c>
      <c r="I564" s="15" t="s">
        <v>1294</v>
      </c>
      <c r="J564" s="24"/>
      <c r="K564" s="24"/>
      <c r="M564" s="20" t="str">
        <f t="shared" si="8"/>
        <v>Narcissus asturiensis</v>
      </c>
    </row>
    <row r="565" spans="1:13" ht="15" customHeight="1" x14ac:dyDescent="0.2">
      <c r="A565" s="14" t="s">
        <v>695</v>
      </c>
      <c r="B565" s="15">
        <v>6514</v>
      </c>
      <c r="C565" s="16" t="s">
        <v>2381</v>
      </c>
      <c r="D565" s="15" t="s">
        <v>2382</v>
      </c>
      <c r="E565" s="17" t="s">
        <v>1293</v>
      </c>
      <c r="F565" s="18"/>
      <c r="G565" s="18"/>
      <c r="H565" s="18" t="s">
        <v>547</v>
      </c>
      <c r="I565" s="14" t="s">
        <v>1294</v>
      </c>
      <c r="J565" s="18"/>
      <c r="K565" s="18"/>
      <c r="M565" s="20" t="str">
        <f t="shared" si="8"/>
        <v>Narcissus cyclamineus</v>
      </c>
    </row>
    <row r="566" spans="1:13" ht="15" customHeight="1" x14ac:dyDescent="0.2">
      <c r="A566" s="14" t="s">
        <v>695</v>
      </c>
      <c r="B566" s="15">
        <v>6423</v>
      </c>
      <c r="C566" s="16" t="s">
        <v>2383</v>
      </c>
      <c r="D566" s="22" t="s">
        <v>2384</v>
      </c>
      <c r="E566" s="17" t="s">
        <v>1293</v>
      </c>
      <c r="F566" s="18"/>
      <c r="G566" s="18"/>
      <c r="H566" s="18" t="s">
        <v>547</v>
      </c>
      <c r="I566" s="14" t="s">
        <v>1294</v>
      </c>
      <c r="J566" s="18"/>
      <c r="K566" s="35"/>
      <c r="M566" s="20" t="str">
        <f t="shared" si="8"/>
        <v>Narcissus fernandesii</v>
      </c>
    </row>
    <row r="567" spans="1:13" ht="15" customHeight="1" x14ac:dyDescent="0.2">
      <c r="A567" s="14" t="s">
        <v>695</v>
      </c>
      <c r="B567" s="15">
        <v>6500</v>
      </c>
      <c r="C567" s="16" t="s">
        <v>2385</v>
      </c>
      <c r="D567" s="15" t="s">
        <v>2386</v>
      </c>
      <c r="E567" s="17" t="s">
        <v>1293</v>
      </c>
      <c r="F567" s="18"/>
      <c r="G567" s="18"/>
      <c r="H567" s="18" t="s">
        <v>547</v>
      </c>
      <c r="I567" s="14" t="s">
        <v>1294</v>
      </c>
      <c r="J567" s="18"/>
      <c r="K567" s="18"/>
      <c r="M567" s="20" t="str">
        <f t="shared" si="8"/>
        <v>Narcissus humilis</v>
      </c>
    </row>
    <row r="568" spans="1:13" ht="28.5" customHeight="1" x14ac:dyDescent="0.25">
      <c r="A568" s="14" t="s">
        <v>695</v>
      </c>
      <c r="B568" s="15">
        <v>33101</v>
      </c>
      <c r="C568" s="16" t="s">
        <v>1246</v>
      </c>
      <c r="D568" s="15" t="s">
        <v>2387</v>
      </c>
      <c r="E568" s="24" t="s">
        <v>1318</v>
      </c>
      <c r="F568" s="18"/>
      <c r="G568" s="18"/>
      <c r="H568" s="18" t="s">
        <v>1300</v>
      </c>
      <c r="I568" s="14" t="s">
        <v>1294</v>
      </c>
      <c r="J568" s="18"/>
      <c r="K568" s="18"/>
      <c r="M568" s="20" t="str">
        <f t="shared" si="8"/>
        <v>Narcissus longispathus</v>
      </c>
    </row>
    <row r="569" spans="1:13" ht="15" customHeight="1" x14ac:dyDescent="0.2">
      <c r="A569" s="14" t="s">
        <v>695</v>
      </c>
      <c r="B569" s="15">
        <v>546</v>
      </c>
      <c r="C569" s="16" t="s">
        <v>1247</v>
      </c>
      <c r="D569" s="15" t="s">
        <v>2388</v>
      </c>
      <c r="E569" s="17" t="s">
        <v>1293</v>
      </c>
      <c r="F569" s="18" t="s">
        <v>2389</v>
      </c>
      <c r="G569" s="18"/>
      <c r="H569" s="18" t="s">
        <v>1300</v>
      </c>
      <c r="I569" s="14" t="s">
        <v>1294</v>
      </c>
      <c r="J569" s="18"/>
      <c r="K569" s="62" t="s">
        <v>2390</v>
      </c>
      <c r="M569" s="20" t="str">
        <f t="shared" si="8"/>
        <v>Narcissus nevadensis</v>
      </c>
    </row>
    <row r="570" spans="1:13" ht="15" customHeight="1" x14ac:dyDescent="0.2">
      <c r="A570" s="14" t="s">
        <v>695</v>
      </c>
      <c r="B570" s="15">
        <v>80512</v>
      </c>
      <c r="C570" s="16" t="s">
        <v>2391</v>
      </c>
      <c r="D570" s="30" t="s">
        <v>2392</v>
      </c>
      <c r="E570" s="17" t="s">
        <v>1318</v>
      </c>
      <c r="F570" s="18"/>
      <c r="G570" s="18"/>
      <c r="H570" s="18" t="s">
        <v>547</v>
      </c>
      <c r="I570" s="14" t="s">
        <v>1294</v>
      </c>
      <c r="J570" s="18"/>
      <c r="K570" s="18"/>
      <c r="M570" s="20" t="str">
        <f t="shared" si="8"/>
        <v>Narcissus pseudonarcissus subsp. nobilis</v>
      </c>
    </row>
    <row r="571" spans="1:13" ht="15" customHeight="1" x14ac:dyDescent="0.2">
      <c r="A571" s="14" t="s">
        <v>695</v>
      </c>
      <c r="B571" s="15">
        <v>6543</v>
      </c>
      <c r="C571" s="16" t="s">
        <v>1223</v>
      </c>
      <c r="D571" s="14" t="s">
        <v>2393</v>
      </c>
      <c r="E571" s="17" t="s">
        <v>1293</v>
      </c>
      <c r="F571" s="18"/>
      <c r="G571" s="18"/>
      <c r="H571" s="18" t="s">
        <v>547</v>
      </c>
      <c r="I571" s="14" t="s">
        <v>1294</v>
      </c>
      <c r="J571" s="18"/>
      <c r="K571" s="62" t="s">
        <v>2394</v>
      </c>
      <c r="M571" s="20" t="str">
        <f t="shared" si="8"/>
        <v>Narcissus triandrus</v>
      </c>
    </row>
    <row r="572" spans="1:13" ht="12.75" customHeight="1" x14ac:dyDescent="0.2">
      <c r="A572" s="14" t="s">
        <v>695</v>
      </c>
      <c r="B572" s="15">
        <v>6546</v>
      </c>
      <c r="C572" s="16" t="s">
        <v>1251</v>
      </c>
      <c r="D572" s="14" t="s">
        <v>2395</v>
      </c>
      <c r="E572" s="17" t="s">
        <v>1293</v>
      </c>
      <c r="F572" s="18"/>
      <c r="G572" s="18"/>
      <c r="H572" s="18" t="s">
        <v>547</v>
      </c>
      <c r="I572" s="14" t="s">
        <v>1294</v>
      </c>
      <c r="J572" s="18"/>
      <c r="K572" s="18"/>
      <c r="M572" s="20" t="str">
        <f t="shared" si="8"/>
        <v>Narcissus viridiflorus</v>
      </c>
    </row>
    <row r="573" spans="1:13" ht="12.75" customHeight="1" x14ac:dyDescent="0.2">
      <c r="A573" s="14" t="s">
        <v>695</v>
      </c>
      <c r="B573" s="15">
        <v>6502</v>
      </c>
      <c r="C573" s="16" t="s">
        <v>2396</v>
      </c>
      <c r="D573" s="14" t="s">
        <v>2397</v>
      </c>
      <c r="E573" s="17" t="s">
        <v>1293</v>
      </c>
      <c r="F573" s="18" t="s">
        <v>2398</v>
      </c>
      <c r="G573" s="18"/>
      <c r="H573" s="18" t="s">
        <v>1300</v>
      </c>
      <c r="I573" s="14" t="s">
        <v>1294</v>
      </c>
      <c r="J573" s="18"/>
      <c r="K573" s="18"/>
      <c r="M573" s="20" t="str">
        <f t="shared" si="8"/>
        <v>Naufraga balearica</v>
      </c>
    </row>
    <row r="574" spans="1:13" s="25" customFormat="1" ht="15" customHeight="1" x14ac:dyDescent="0.2">
      <c r="A574" s="15" t="s">
        <v>695</v>
      </c>
      <c r="B574" s="15">
        <v>1376</v>
      </c>
      <c r="C574" s="21" t="s">
        <v>2399</v>
      </c>
      <c r="D574" s="22" t="s">
        <v>2400</v>
      </c>
      <c r="E574" s="23" t="s">
        <v>1293</v>
      </c>
      <c r="F574" s="24"/>
      <c r="G574" s="24"/>
      <c r="H574" s="24" t="s">
        <v>1300</v>
      </c>
      <c r="I574" s="15" t="s">
        <v>1294</v>
      </c>
      <c r="J574" s="24"/>
      <c r="K574" s="24"/>
      <c r="M574" s="20" t="str">
        <f t="shared" si="8"/>
        <v>Normania nava</v>
      </c>
    </row>
    <row r="575" spans="1:13" s="25" customFormat="1" ht="15" customHeight="1" x14ac:dyDescent="0.2">
      <c r="A575" s="15" t="s">
        <v>695</v>
      </c>
      <c r="B575" s="15">
        <v>6427</v>
      </c>
      <c r="C575" s="21" t="s">
        <v>2401</v>
      </c>
      <c r="D575" s="22" t="s">
        <v>2402</v>
      </c>
      <c r="E575" s="23" t="s">
        <v>1318</v>
      </c>
      <c r="F575" s="24" t="s">
        <v>2403</v>
      </c>
      <c r="G575" s="24"/>
      <c r="H575" s="24" t="s">
        <v>1300</v>
      </c>
      <c r="I575" s="15" t="s">
        <v>1975</v>
      </c>
      <c r="J575" s="24"/>
      <c r="K575" s="24"/>
      <c r="M575" s="20" t="str">
        <f t="shared" si="8"/>
        <v>Nuphar pumila subsp. Pumila</v>
      </c>
    </row>
    <row r="576" spans="1:13" s="25" customFormat="1" ht="15" customHeight="1" x14ac:dyDescent="0.2">
      <c r="A576" s="15" t="s">
        <v>695</v>
      </c>
      <c r="B576" s="15">
        <v>6452</v>
      </c>
      <c r="C576" s="21" t="s">
        <v>1197</v>
      </c>
      <c r="D576" s="15" t="s">
        <v>2404</v>
      </c>
      <c r="E576" s="23" t="s">
        <v>1318</v>
      </c>
      <c r="F576" s="24"/>
      <c r="G576" s="24"/>
      <c r="H576" s="24" t="s">
        <v>547</v>
      </c>
      <c r="I576" s="15" t="s">
        <v>1294</v>
      </c>
      <c r="J576" s="24"/>
      <c r="K576" s="24"/>
      <c r="M576" s="20" t="str">
        <f t="shared" si="8"/>
        <v>Odontites granatensis</v>
      </c>
    </row>
    <row r="577" spans="1:13" s="25" customFormat="1" ht="15" customHeight="1" x14ac:dyDescent="0.2">
      <c r="A577" s="15" t="s">
        <v>695</v>
      </c>
      <c r="B577" s="15">
        <v>33079</v>
      </c>
      <c r="C577" s="21" t="s">
        <v>2405</v>
      </c>
      <c r="D577" s="15" t="s">
        <v>2406</v>
      </c>
      <c r="E577" s="23" t="s">
        <v>1318</v>
      </c>
      <c r="F577" s="24"/>
      <c r="G577" s="24"/>
      <c r="H577" s="24" t="s">
        <v>1300</v>
      </c>
      <c r="I577" s="15" t="s">
        <v>1294</v>
      </c>
      <c r="J577" s="24"/>
      <c r="K577" s="24"/>
      <c r="M577" s="20" t="str">
        <f t="shared" si="8"/>
        <v>Omphalodes littoralis subsp. gallaecica</v>
      </c>
    </row>
    <row r="578" spans="1:13" s="25" customFormat="1" ht="15" customHeight="1" x14ac:dyDescent="0.2">
      <c r="A578" s="15" t="s">
        <v>695</v>
      </c>
      <c r="B578" s="15">
        <v>970</v>
      </c>
      <c r="C578" s="21" t="s">
        <v>2407</v>
      </c>
      <c r="D578" s="15" t="s">
        <v>2408</v>
      </c>
      <c r="E578" s="23" t="s">
        <v>1293</v>
      </c>
      <c r="F578" s="24" t="s">
        <v>2409</v>
      </c>
      <c r="G578" s="24"/>
      <c r="H578" s="24" t="s">
        <v>1300</v>
      </c>
      <c r="I578" s="15" t="s">
        <v>1294</v>
      </c>
      <c r="J578" s="24"/>
      <c r="K578" s="21"/>
      <c r="M578" s="20" t="str">
        <f t="shared" si="8"/>
        <v>Onopordum carduelinum</v>
      </c>
    </row>
    <row r="579" spans="1:13" s="25" customFormat="1" ht="15" customHeight="1" x14ac:dyDescent="0.2">
      <c r="A579" s="15" t="s">
        <v>695</v>
      </c>
      <c r="B579" s="15">
        <v>1378</v>
      </c>
      <c r="C579" s="21" t="s">
        <v>2410</v>
      </c>
      <c r="D579" s="15" t="s">
        <v>2411</v>
      </c>
      <c r="E579" s="23" t="s">
        <v>1293</v>
      </c>
      <c r="F579" s="24" t="s">
        <v>2412</v>
      </c>
      <c r="G579" s="24"/>
      <c r="H579" s="24" t="s">
        <v>1300</v>
      </c>
      <c r="I579" s="15" t="s">
        <v>1294</v>
      </c>
      <c r="J579" s="24"/>
      <c r="K579" s="24"/>
      <c r="M579" s="20" t="str">
        <f t="shared" ref="M579:M642" si="9">TRIM(C579)</f>
        <v>Onopordum nogalesii</v>
      </c>
    </row>
    <row r="580" spans="1:13" s="25" customFormat="1" ht="15" customHeight="1" x14ac:dyDescent="0.2">
      <c r="A580" s="15" t="s">
        <v>695</v>
      </c>
      <c r="B580" s="15">
        <v>24262</v>
      </c>
      <c r="C580" s="21" t="s">
        <v>2413</v>
      </c>
      <c r="D580" s="22" t="s">
        <v>2414</v>
      </c>
      <c r="E580" s="23" t="s">
        <v>1293</v>
      </c>
      <c r="F580" s="24" t="s">
        <v>2415</v>
      </c>
      <c r="G580" s="24"/>
      <c r="H580" s="24" t="s">
        <v>547</v>
      </c>
      <c r="I580" s="15" t="s">
        <v>1294</v>
      </c>
      <c r="J580" s="24"/>
      <c r="K580" s="24"/>
      <c r="M580" s="20" t="str">
        <f t="shared" si="9"/>
        <v>Ophioglossum polyphyllum</v>
      </c>
    </row>
    <row r="581" spans="1:13" s="25" customFormat="1" ht="15" customHeight="1" x14ac:dyDescent="0.2">
      <c r="A581" s="15" t="s">
        <v>695</v>
      </c>
      <c r="B581" s="15">
        <v>6838</v>
      </c>
      <c r="C581" s="21" t="s">
        <v>2416</v>
      </c>
      <c r="D581" s="15" t="s">
        <v>2417</v>
      </c>
      <c r="E581" s="23" t="s">
        <v>1293</v>
      </c>
      <c r="F581" s="24"/>
      <c r="G581" s="24"/>
      <c r="H581" s="24" t="s">
        <v>547</v>
      </c>
      <c r="I581" s="15" t="s">
        <v>1294</v>
      </c>
      <c r="J581" s="24"/>
      <c r="K581" s="24"/>
      <c r="M581" s="20" t="str">
        <f t="shared" si="9"/>
        <v>Orchis provincialis</v>
      </c>
    </row>
    <row r="582" spans="1:13" s="25" customFormat="1" ht="15" customHeight="1" x14ac:dyDescent="0.2">
      <c r="A582" s="15" t="s">
        <v>695</v>
      </c>
      <c r="B582" s="15">
        <v>6797</v>
      </c>
      <c r="C582" s="21" t="s">
        <v>1266</v>
      </c>
      <c r="D582" s="22" t="s">
        <v>2418</v>
      </c>
      <c r="E582" s="23" t="s">
        <v>1293</v>
      </c>
      <c r="F582" s="24"/>
      <c r="G582" s="24"/>
      <c r="H582" s="24" t="s">
        <v>547</v>
      </c>
      <c r="I582" s="15" t="s">
        <v>1294</v>
      </c>
      <c r="J582" s="24"/>
      <c r="K582" s="24"/>
      <c r="M582" s="20" t="str">
        <f t="shared" si="9"/>
        <v>Ornithogalum reverchonii</v>
      </c>
    </row>
    <row r="583" spans="1:13" s="25" customFormat="1" ht="15" customHeight="1" x14ac:dyDescent="0.2">
      <c r="A583" s="15" t="s">
        <v>695</v>
      </c>
      <c r="B583" s="15">
        <v>6848</v>
      </c>
      <c r="C583" s="21" t="s">
        <v>1229</v>
      </c>
      <c r="D583" s="22" t="s">
        <v>2419</v>
      </c>
      <c r="E583" s="23" t="s">
        <v>1293</v>
      </c>
      <c r="F583" s="24"/>
      <c r="G583" s="24"/>
      <c r="H583" s="24" t="s">
        <v>547</v>
      </c>
      <c r="I583" s="15" t="s">
        <v>1294</v>
      </c>
      <c r="J583" s="24"/>
      <c r="K583" s="24"/>
      <c r="M583" s="20" t="str">
        <f t="shared" si="9"/>
        <v>Orobanche densiflora</v>
      </c>
    </row>
    <row r="584" spans="1:13" s="25" customFormat="1" ht="15" customHeight="1" x14ac:dyDescent="0.2">
      <c r="A584" s="15" t="s">
        <v>695</v>
      </c>
      <c r="B584" s="15">
        <v>24264</v>
      </c>
      <c r="C584" s="21" t="s">
        <v>2420</v>
      </c>
      <c r="D584" s="15" t="s">
        <v>2421</v>
      </c>
      <c r="E584" s="23" t="s">
        <v>1293</v>
      </c>
      <c r="F584" s="24"/>
      <c r="G584" s="24"/>
      <c r="H584" s="24" t="s">
        <v>547</v>
      </c>
      <c r="I584" s="15" t="s">
        <v>1294</v>
      </c>
      <c r="J584" s="24"/>
      <c r="K584" s="24"/>
      <c r="M584" s="20" t="str">
        <f t="shared" si="9"/>
        <v>Orthotrichum rogeri</v>
      </c>
    </row>
    <row r="585" spans="1:13" s="25" customFormat="1" ht="15" customHeight="1" x14ac:dyDescent="0.2">
      <c r="A585" s="15" t="s">
        <v>695</v>
      </c>
      <c r="B585" s="15">
        <v>6912</v>
      </c>
      <c r="C585" s="21" t="s">
        <v>2422</v>
      </c>
      <c r="D585" s="15" t="s">
        <v>2423</v>
      </c>
      <c r="E585" s="23" t="s">
        <v>1293</v>
      </c>
      <c r="F585" s="24"/>
      <c r="G585" s="24"/>
      <c r="H585" s="24" t="s">
        <v>547</v>
      </c>
      <c r="I585" s="15" t="s">
        <v>1294</v>
      </c>
      <c r="J585" s="24"/>
      <c r="K585" s="24"/>
      <c r="M585" s="20" t="str">
        <f t="shared" si="9"/>
        <v>Paeonia cambessedesii</v>
      </c>
    </row>
    <row r="586" spans="1:13" s="25" customFormat="1" ht="15" customHeight="1" x14ac:dyDescent="0.2">
      <c r="A586" s="15" t="s">
        <v>695</v>
      </c>
      <c r="B586" s="15">
        <v>1382</v>
      </c>
      <c r="C586" s="21" t="s">
        <v>2424</v>
      </c>
      <c r="D586" s="15" t="s">
        <v>2425</v>
      </c>
      <c r="E586" s="23" t="s">
        <v>1293</v>
      </c>
      <c r="F586" s="24" t="s">
        <v>2426</v>
      </c>
      <c r="G586" s="24"/>
      <c r="H586" s="24" t="s">
        <v>547</v>
      </c>
      <c r="I586" s="15" t="s">
        <v>1294</v>
      </c>
      <c r="J586" s="24"/>
      <c r="K586" s="24"/>
      <c r="M586" s="20" t="str">
        <f t="shared" si="9"/>
        <v>Parolinia schizogynoides</v>
      </c>
    </row>
    <row r="587" spans="1:13" s="25" customFormat="1" ht="15" customHeight="1" x14ac:dyDescent="0.2">
      <c r="A587" s="15" t="s">
        <v>695</v>
      </c>
      <c r="B587" s="15">
        <v>1391</v>
      </c>
      <c r="C587" s="21" t="s">
        <v>2427</v>
      </c>
      <c r="D587" s="15" t="s">
        <v>2428</v>
      </c>
      <c r="E587" s="23" t="s">
        <v>1293</v>
      </c>
      <c r="F587" s="24" t="s">
        <v>2429</v>
      </c>
      <c r="G587" s="24" t="s">
        <v>2430</v>
      </c>
      <c r="H587" s="24" t="s">
        <v>1300</v>
      </c>
      <c r="I587" s="15" t="s">
        <v>1294</v>
      </c>
      <c r="J587" s="24"/>
      <c r="K587" s="24"/>
      <c r="M587" s="20" t="str">
        <f t="shared" si="9"/>
        <v>Pericallis appendiculata</v>
      </c>
    </row>
    <row r="588" spans="1:13" ht="15" customHeight="1" x14ac:dyDescent="0.2">
      <c r="A588" s="14" t="s">
        <v>695</v>
      </c>
      <c r="B588" s="15">
        <v>975</v>
      </c>
      <c r="C588" s="16" t="s">
        <v>2431</v>
      </c>
      <c r="D588" s="14" t="s">
        <v>2432</v>
      </c>
      <c r="E588" s="17" t="s">
        <v>1293</v>
      </c>
      <c r="F588" s="18" t="s">
        <v>2433</v>
      </c>
      <c r="G588" s="18"/>
      <c r="H588" s="18" t="s">
        <v>1300</v>
      </c>
      <c r="I588" s="14" t="s">
        <v>1294</v>
      </c>
      <c r="J588" s="18"/>
      <c r="K588" s="18"/>
      <c r="M588" s="20" t="str">
        <f t="shared" si="9"/>
        <v>Pericallis hadrosoma</v>
      </c>
    </row>
    <row r="589" spans="1:13" ht="15" customHeight="1" x14ac:dyDescent="0.2">
      <c r="A589" s="15" t="s">
        <v>695</v>
      </c>
      <c r="B589" s="15">
        <v>24131</v>
      </c>
      <c r="C589" s="16" t="s">
        <v>2434</v>
      </c>
      <c r="D589" s="14" t="s">
        <v>2435</v>
      </c>
      <c r="E589" s="17" t="s">
        <v>1293</v>
      </c>
      <c r="F589" s="18"/>
      <c r="G589" s="18"/>
      <c r="H589" s="18" t="s">
        <v>547</v>
      </c>
      <c r="I589" s="14" t="s">
        <v>1294</v>
      </c>
      <c r="J589" s="18"/>
      <c r="K589" s="18"/>
      <c r="M589" s="20" t="str">
        <f t="shared" si="9"/>
        <v>Petalophyllum ralfsii</v>
      </c>
    </row>
    <row r="590" spans="1:13" ht="15" customHeight="1" x14ac:dyDescent="0.2">
      <c r="A590" s="14" t="s">
        <v>695</v>
      </c>
      <c r="B590" s="15">
        <v>7040</v>
      </c>
      <c r="C590" s="16" t="s">
        <v>2436</v>
      </c>
      <c r="D590" s="14" t="s">
        <v>2437</v>
      </c>
      <c r="E590" s="17" t="s">
        <v>1293</v>
      </c>
      <c r="F590" s="18"/>
      <c r="G590" s="18"/>
      <c r="H590" s="18" t="s">
        <v>547</v>
      </c>
      <c r="I590" s="14" t="s">
        <v>1294</v>
      </c>
      <c r="J590" s="18"/>
      <c r="K590" s="18"/>
      <c r="M590" s="20" t="str">
        <f t="shared" si="9"/>
        <v>Petrocoptis grandiflora</v>
      </c>
    </row>
    <row r="591" spans="1:13" ht="15" customHeight="1" x14ac:dyDescent="0.2">
      <c r="A591" s="14" t="s">
        <v>695</v>
      </c>
      <c r="B591" s="15">
        <v>7044</v>
      </c>
      <c r="C591" s="16" t="s">
        <v>2438</v>
      </c>
      <c r="D591" s="14" t="s">
        <v>2439</v>
      </c>
      <c r="E591" s="17" t="s">
        <v>1293</v>
      </c>
      <c r="F591" s="18"/>
      <c r="G591" s="18"/>
      <c r="H591" s="18" t="s">
        <v>547</v>
      </c>
      <c r="I591" s="14" t="s">
        <v>1294</v>
      </c>
      <c r="J591" s="18"/>
      <c r="K591" s="18"/>
      <c r="M591" s="20" t="str">
        <f t="shared" si="9"/>
        <v>Petrocoptis montsicciana</v>
      </c>
    </row>
    <row r="592" spans="1:13" ht="15" customHeight="1" x14ac:dyDescent="0.2">
      <c r="A592" s="14" t="s">
        <v>695</v>
      </c>
      <c r="B592" s="15">
        <v>7046</v>
      </c>
      <c r="C592" s="16" t="s">
        <v>2440</v>
      </c>
      <c r="D592" s="14" t="s">
        <v>2441</v>
      </c>
      <c r="E592" s="17" t="s">
        <v>1293</v>
      </c>
      <c r="F592" s="18"/>
      <c r="G592" s="18"/>
      <c r="H592" s="18" t="s">
        <v>562</v>
      </c>
      <c r="I592" s="14" t="s">
        <v>1294</v>
      </c>
      <c r="J592" s="18"/>
      <c r="K592" s="18"/>
      <c r="M592" s="20" t="str">
        <f t="shared" si="9"/>
        <v>Petrocoptis pseudoviscosa</v>
      </c>
    </row>
    <row r="593" spans="1:13" ht="15" customHeight="1" x14ac:dyDescent="0.2">
      <c r="A593" s="14" t="s">
        <v>695</v>
      </c>
      <c r="B593" s="15">
        <v>974</v>
      </c>
      <c r="C593" s="16" t="s">
        <v>1253</v>
      </c>
      <c r="D593" s="57" t="s">
        <v>2442</v>
      </c>
      <c r="E593" s="17" t="s">
        <v>1293</v>
      </c>
      <c r="F593" s="18"/>
      <c r="G593" s="18"/>
      <c r="H593" s="18" t="s">
        <v>547</v>
      </c>
      <c r="I593" s="14" t="s">
        <v>1294</v>
      </c>
      <c r="J593" s="18"/>
      <c r="K593" s="18"/>
      <c r="M593" s="20" t="str">
        <f t="shared" si="9"/>
        <v>Picris willkommii</v>
      </c>
    </row>
    <row r="594" spans="1:13" ht="15" customHeight="1" x14ac:dyDescent="0.2">
      <c r="A594" s="14" t="s">
        <v>695</v>
      </c>
      <c r="B594" s="15">
        <v>7108</v>
      </c>
      <c r="C594" s="16" t="s">
        <v>1224</v>
      </c>
      <c r="D594" s="14" t="s">
        <v>2443</v>
      </c>
      <c r="E594" s="17" t="s">
        <v>1293</v>
      </c>
      <c r="F594" s="18"/>
      <c r="G594" s="18"/>
      <c r="H594" s="18" t="s">
        <v>547</v>
      </c>
      <c r="I594" s="14" t="s">
        <v>1294</v>
      </c>
      <c r="J594" s="18"/>
      <c r="K594" s="18"/>
      <c r="M594" s="20" t="str">
        <f t="shared" si="9"/>
        <v>Pilularia minuta</v>
      </c>
    </row>
    <row r="595" spans="1:13" ht="15" customHeight="1" x14ac:dyDescent="0.2">
      <c r="A595" s="14" t="s">
        <v>695</v>
      </c>
      <c r="B595" s="15">
        <v>6989</v>
      </c>
      <c r="C595" s="16" t="s">
        <v>1274</v>
      </c>
      <c r="D595" s="14" t="s">
        <v>2444</v>
      </c>
      <c r="E595" s="17" t="s">
        <v>1293</v>
      </c>
      <c r="F595" s="18"/>
      <c r="G595" s="18"/>
      <c r="H595" s="18" t="s">
        <v>547</v>
      </c>
      <c r="I595" s="14" t="s">
        <v>1294</v>
      </c>
      <c r="J595" s="18"/>
      <c r="K595" s="18"/>
      <c r="M595" s="20" t="str">
        <f t="shared" si="9"/>
        <v>Pinguicula nevadensis</v>
      </c>
    </row>
    <row r="596" spans="1:13" ht="12.75" customHeight="1" x14ac:dyDescent="0.2">
      <c r="A596" s="14" t="s">
        <v>695</v>
      </c>
      <c r="B596" s="15">
        <v>7146</v>
      </c>
      <c r="C596" s="16" t="s">
        <v>1275</v>
      </c>
      <c r="D596" s="15" t="s">
        <v>2445</v>
      </c>
      <c r="E596" s="17" t="s">
        <v>1293</v>
      </c>
      <c r="F596" s="18"/>
      <c r="G596" s="18"/>
      <c r="H596" s="18" t="s">
        <v>547</v>
      </c>
      <c r="I596" s="14" t="s">
        <v>1294</v>
      </c>
      <c r="J596" s="18"/>
      <c r="K596" s="18"/>
      <c r="M596" s="20" t="str">
        <f t="shared" si="9"/>
        <v>Plantago algarbiensis</v>
      </c>
    </row>
    <row r="597" spans="1:13" ht="15" customHeight="1" x14ac:dyDescent="0.2">
      <c r="A597" s="14" t="s">
        <v>695</v>
      </c>
      <c r="B597" s="15">
        <v>976</v>
      </c>
      <c r="C597" s="16" t="s">
        <v>2446</v>
      </c>
      <c r="D597" s="15" t="s">
        <v>2447</v>
      </c>
      <c r="E597" s="17" t="s">
        <v>1293</v>
      </c>
      <c r="F597" s="18" t="s">
        <v>2448</v>
      </c>
      <c r="G597" s="18"/>
      <c r="H597" s="18" t="s">
        <v>562</v>
      </c>
      <c r="I597" s="14" t="s">
        <v>1294</v>
      </c>
      <c r="J597" s="18"/>
      <c r="K597" s="18"/>
      <c r="M597" s="20" t="str">
        <f t="shared" si="9"/>
        <v>Plantago famarae</v>
      </c>
    </row>
    <row r="598" spans="1:13" s="25" customFormat="1" ht="15" customHeight="1" x14ac:dyDescent="0.2">
      <c r="A598" s="15" t="s">
        <v>695</v>
      </c>
      <c r="B598" s="15">
        <v>6955</v>
      </c>
      <c r="C598" s="58" t="s">
        <v>2449</v>
      </c>
      <c r="D598" s="15" t="s">
        <v>2450</v>
      </c>
      <c r="E598" s="23" t="s">
        <v>1318</v>
      </c>
      <c r="F598" s="24"/>
      <c r="G598" s="24"/>
      <c r="H598" s="24" t="s">
        <v>562</v>
      </c>
      <c r="I598" s="15" t="s">
        <v>1411</v>
      </c>
      <c r="J598" s="24"/>
      <c r="K598" s="24"/>
      <c r="M598" s="20" t="str">
        <f t="shared" si="9"/>
        <v>Pedicularis comosa subsp. asparagoides</v>
      </c>
    </row>
    <row r="599" spans="1:13" s="25" customFormat="1" ht="15" customHeight="1" x14ac:dyDescent="0.2">
      <c r="A599" s="15" t="s">
        <v>695</v>
      </c>
      <c r="B599" s="15">
        <v>7028</v>
      </c>
      <c r="C599" s="21" t="s">
        <v>2451</v>
      </c>
      <c r="D599" s="22" t="s">
        <v>2452</v>
      </c>
      <c r="E599" s="23" t="s">
        <v>1293</v>
      </c>
      <c r="F599" s="24"/>
      <c r="G599" s="24"/>
      <c r="H599" s="24" t="s">
        <v>1300</v>
      </c>
      <c r="I599" s="15" t="s">
        <v>1411</v>
      </c>
      <c r="J599" s="24"/>
      <c r="K599" s="24"/>
      <c r="M599" s="20" t="str">
        <f t="shared" si="9"/>
        <v>Pellaea calomelanos</v>
      </c>
    </row>
    <row r="600" spans="1:13" s="25" customFormat="1" ht="15" customHeight="1" x14ac:dyDescent="0.2">
      <c r="A600" s="15" t="s">
        <v>695</v>
      </c>
      <c r="B600" s="15">
        <v>7070</v>
      </c>
      <c r="C600" s="21" t="s">
        <v>2453</v>
      </c>
      <c r="D600" s="22" t="s">
        <v>2454</v>
      </c>
      <c r="E600" s="23" t="s">
        <v>1293</v>
      </c>
      <c r="F600" s="24"/>
      <c r="G600" s="24"/>
      <c r="H600" s="24" t="s">
        <v>1300</v>
      </c>
      <c r="I600" s="15" t="s">
        <v>1411</v>
      </c>
      <c r="J600" s="24"/>
      <c r="K600" s="24"/>
      <c r="M600" s="20" t="str">
        <f t="shared" si="9"/>
        <v>Peucedanum schottii</v>
      </c>
    </row>
    <row r="601" spans="1:13" s="25" customFormat="1" ht="16.5" customHeight="1" x14ac:dyDescent="0.25">
      <c r="A601" s="15" t="s">
        <v>695</v>
      </c>
      <c r="B601" s="15">
        <v>7154</v>
      </c>
      <c r="C601" s="21" t="s">
        <v>2455</v>
      </c>
      <c r="D601" s="15" t="s">
        <v>2456</v>
      </c>
      <c r="E601" s="24" t="s">
        <v>1293</v>
      </c>
      <c r="F601" s="24"/>
      <c r="G601" s="24"/>
      <c r="H601" s="24" t="s">
        <v>1300</v>
      </c>
      <c r="I601" s="15" t="s">
        <v>1411</v>
      </c>
      <c r="J601" s="24"/>
      <c r="K601" s="21"/>
      <c r="M601" s="20" t="str">
        <f t="shared" si="9"/>
        <v>Plantago cornuti</v>
      </c>
    </row>
    <row r="602" spans="1:13" s="25" customFormat="1" ht="15.75" customHeight="1" x14ac:dyDescent="0.2">
      <c r="A602" s="15" t="s">
        <v>695</v>
      </c>
      <c r="B602" s="15">
        <v>7208</v>
      </c>
      <c r="C602" s="21" t="s">
        <v>2457</v>
      </c>
      <c r="D602" s="48" t="s">
        <v>2458</v>
      </c>
      <c r="E602" s="23" t="s">
        <v>1293</v>
      </c>
      <c r="F602" s="24"/>
      <c r="G602" s="24"/>
      <c r="H602" s="24" t="s">
        <v>562</v>
      </c>
      <c r="I602" s="15" t="s">
        <v>1411</v>
      </c>
      <c r="J602" s="24"/>
      <c r="K602" s="24"/>
      <c r="M602" s="20" t="str">
        <f t="shared" si="9"/>
        <v>Polygala vayredae</v>
      </c>
    </row>
    <row r="603" spans="1:13" s="25" customFormat="1" ht="15" customHeight="1" x14ac:dyDescent="0.2">
      <c r="A603" s="15" t="s">
        <v>695</v>
      </c>
      <c r="B603" s="15">
        <v>7303</v>
      </c>
      <c r="C603" s="64" t="s">
        <v>2459</v>
      </c>
      <c r="D603" s="15" t="s">
        <v>2460</v>
      </c>
      <c r="E603" s="23" t="s">
        <v>1293</v>
      </c>
      <c r="F603" s="24" t="s">
        <v>2461</v>
      </c>
      <c r="G603" s="24" t="s">
        <v>1774</v>
      </c>
      <c r="H603" s="24" t="s">
        <v>547</v>
      </c>
      <c r="I603" s="15" t="s">
        <v>1294</v>
      </c>
      <c r="J603" s="24"/>
      <c r="K603" s="24"/>
      <c r="M603" s="20" t="str">
        <f t="shared" si="9"/>
        <v>(1) Posidonia oceanica</v>
      </c>
    </row>
    <row r="604" spans="1:13" ht="16.5" customHeight="1" x14ac:dyDescent="0.2">
      <c r="A604" s="14" t="s">
        <v>695</v>
      </c>
      <c r="B604" s="15">
        <v>7412</v>
      </c>
      <c r="C604" s="21" t="s">
        <v>2462</v>
      </c>
      <c r="D604" s="15" t="s">
        <v>2463</v>
      </c>
      <c r="E604" s="17" t="s">
        <v>1293</v>
      </c>
      <c r="F604" s="18" t="s">
        <v>1249</v>
      </c>
      <c r="G604" s="18"/>
      <c r="H604" s="18" t="s">
        <v>1300</v>
      </c>
      <c r="I604" s="14" t="s">
        <v>1294</v>
      </c>
      <c r="J604" s="18"/>
      <c r="K604" s="18"/>
      <c r="M604" s="20" t="str">
        <f t="shared" si="9"/>
        <v>Psilotum nudum subsp. molesworthiae</v>
      </c>
    </row>
    <row r="605" spans="1:13" ht="18" customHeight="1" x14ac:dyDescent="0.2">
      <c r="A605" s="14" t="s">
        <v>695</v>
      </c>
      <c r="B605" s="15">
        <v>7422</v>
      </c>
      <c r="C605" s="16" t="s">
        <v>1250</v>
      </c>
      <c r="D605" s="15" t="s">
        <v>2464</v>
      </c>
      <c r="E605" s="17" t="s">
        <v>1293</v>
      </c>
      <c r="F605" s="18" t="s">
        <v>2465</v>
      </c>
      <c r="G605" s="18" t="s">
        <v>1465</v>
      </c>
      <c r="H605" s="18" t="s">
        <v>562</v>
      </c>
      <c r="I605" s="14" t="s">
        <v>1294</v>
      </c>
      <c r="J605" s="18"/>
      <c r="K605" s="18"/>
      <c r="M605" s="20" t="str">
        <f t="shared" si="9"/>
        <v>Pteris incompleta</v>
      </c>
    </row>
    <row r="606" spans="1:13" ht="16.5" customHeight="1" x14ac:dyDescent="0.25">
      <c r="A606" s="14" t="s">
        <v>695</v>
      </c>
      <c r="B606" s="15">
        <v>7422</v>
      </c>
      <c r="C606" s="16" t="s">
        <v>1250</v>
      </c>
      <c r="D606" s="15" t="s">
        <v>2464</v>
      </c>
      <c r="E606" s="24" t="s">
        <v>1293</v>
      </c>
      <c r="F606" s="18" t="s">
        <v>2465</v>
      </c>
      <c r="G606" s="18" t="s">
        <v>1508</v>
      </c>
      <c r="H606" s="18" t="s">
        <v>1300</v>
      </c>
      <c r="I606" s="14" t="s">
        <v>1294</v>
      </c>
      <c r="J606" s="18"/>
      <c r="K606" s="18"/>
      <c r="M606" s="20" t="str">
        <f t="shared" si="9"/>
        <v>Pteris incompleta</v>
      </c>
    </row>
    <row r="607" spans="1:13" ht="15" customHeight="1" x14ac:dyDescent="0.2">
      <c r="A607" s="14" t="s">
        <v>695</v>
      </c>
      <c r="B607" s="15">
        <v>36627</v>
      </c>
      <c r="C607" s="16" t="s">
        <v>2466</v>
      </c>
      <c r="D607" s="15" t="s">
        <v>2467</v>
      </c>
      <c r="E607" s="17" t="s">
        <v>1293</v>
      </c>
      <c r="F607" s="18"/>
      <c r="G607" s="18" t="s">
        <v>1774</v>
      </c>
      <c r="H607" s="18" t="s">
        <v>547</v>
      </c>
      <c r="I607" s="14" t="s">
        <v>1294</v>
      </c>
      <c r="J607" s="18"/>
      <c r="K607" s="18"/>
      <c r="M607" s="20" t="str">
        <f t="shared" si="9"/>
        <v>Ptilophora mediterranea</v>
      </c>
    </row>
    <row r="608" spans="1:13" ht="15" customHeight="1" x14ac:dyDescent="0.2">
      <c r="A608" s="14" t="s">
        <v>695</v>
      </c>
      <c r="B608" s="15">
        <v>24271</v>
      </c>
      <c r="C608" s="16" t="s">
        <v>2468</v>
      </c>
      <c r="D608" s="30" t="s">
        <v>2469</v>
      </c>
      <c r="E608" s="17" t="s">
        <v>1293</v>
      </c>
      <c r="F608" s="18"/>
      <c r="G608" s="18"/>
      <c r="H608" s="18" t="s">
        <v>562</v>
      </c>
      <c r="I608" s="14" t="s">
        <v>1294</v>
      </c>
      <c r="J608" s="18"/>
      <c r="K608" s="18"/>
      <c r="M608" s="20" t="str">
        <f t="shared" si="9"/>
        <v>Puccinellia pungens</v>
      </c>
    </row>
    <row r="609" spans="1:13" ht="15" customHeight="1" x14ac:dyDescent="0.2">
      <c r="A609" s="14" t="s">
        <v>695</v>
      </c>
      <c r="B609" s="15">
        <v>1427</v>
      </c>
      <c r="C609" s="16" t="s">
        <v>2470</v>
      </c>
      <c r="D609" s="15" t="s">
        <v>2471</v>
      </c>
      <c r="E609" s="17" t="s">
        <v>1293</v>
      </c>
      <c r="F609" s="18" t="s">
        <v>2472</v>
      </c>
      <c r="G609" s="18"/>
      <c r="H609" s="18" t="s">
        <v>1300</v>
      </c>
      <c r="I609" s="14" t="s">
        <v>1294</v>
      </c>
      <c r="J609" s="18"/>
      <c r="K609" s="18"/>
      <c r="M609" s="20" t="str">
        <f t="shared" si="9"/>
        <v>Pulicaria burchardii</v>
      </c>
    </row>
    <row r="610" spans="1:13" s="25" customFormat="1" ht="15" customHeight="1" x14ac:dyDescent="0.2">
      <c r="A610" s="15" t="s">
        <v>695</v>
      </c>
      <c r="B610" s="15">
        <v>7545</v>
      </c>
      <c r="C610" s="21" t="s">
        <v>2473</v>
      </c>
      <c r="D610" s="56" t="s">
        <v>2474</v>
      </c>
      <c r="E610" s="23" t="s">
        <v>1293</v>
      </c>
      <c r="F610" s="24"/>
      <c r="G610" s="24"/>
      <c r="H610" s="24" t="s">
        <v>547</v>
      </c>
      <c r="I610" s="15" t="s">
        <v>1294</v>
      </c>
      <c r="J610" s="24"/>
      <c r="K610" s="21"/>
      <c r="M610" s="20" t="str">
        <f t="shared" si="9"/>
        <v>Ranunculus parnassifolius</v>
      </c>
    </row>
    <row r="611" spans="1:13" s="25" customFormat="1" ht="16.5" customHeight="1" x14ac:dyDescent="0.2">
      <c r="A611" s="15" t="s">
        <v>695</v>
      </c>
      <c r="B611" s="15">
        <v>7576</v>
      </c>
      <c r="C611" s="21" t="s">
        <v>2475</v>
      </c>
      <c r="D611" s="15" t="s">
        <v>2476</v>
      </c>
      <c r="E611" s="23" t="s">
        <v>1293</v>
      </c>
      <c r="F611" s="24" t="s">
        <v>2477</v>
      </c>
      <c r="G611" s="24"/>
      <c r="H611" s="24" t="s">
        <v>562</v>
      </c>
      <c r="I611" s="15" t="s">
        <v>1294</v>
      </c>
      <c r="J611" s="24"/>
      <c r="K611" s="21"/>
      <c r="M611" s="20" t="str">
        <f t="shared" si="9"/>
        <v>Ranunculus weylerii</v>
      </c>
    </row>
    <row r="612" spans="1:13" s="25" customFormat="1" ht="15" customHeight="1" x14ac:dyDescent="0.2">
      <c r="A612" s="15" t="s">
        <v>695</v>
      </c>
      <c r="B612" s="15">
        <v>7653</v>
      </c>
      <c r="C612" s="21" t="s">
        <v>2478</v>
      </c>
      <c r="D612" s="22" t="s">
        <v>2479</v>
      </c>
      <c r="E612" s="23" t="s">
        <v>1318</v>
      </c>
      <c r="F612" s="24"/>
      <c r="G612" s="24"/>
      <c r="H612" s="24" t="s">
        <v>562</v>
      </c>
      <c r="I612" s="15" t="s">
        <v>1411</v>
      </c>
      <c r="J612" s="24"/>
      <c r="K612" s="24"/>
      <c r="M612" s="20" t="str">
        <f t="shared" si="9"/>
        <v>Reseda jacquinii subsp. litigiosa</v>
      </c>
    </row>
    <row r="613" spans="1:13" s="25" customFormat="1" ht="15" customHeight="1" x14ac:dyDescent="0.2">
      <c r="A613" s="15" t="s">
        <v>695</v>
      </c>
      <c r="B613" s="15">
        <v>24099</v>
      </c>
      <c r="C613" s="21" t="s">
        <v>1227</v>
      </c>
      <c r="D613" s="15" t="s">
        <v>2480</v>
      </c>
      <c r="E613" s="23" t="s">
        <v>1293</v>
      </c>
      <c r="F613" s="24"/>
      <c r="G613" s="24"/>
      <c r="H613" s="24" t="s">
        <v>547</v>
      </c>
      <c r="I613" s="15" t="s">
        <v>1294</v>
      </c>
      <c r="J613" s="24"/>
      <c r="K613" s="24"/>
      <c r="M613" s="20" t="str">
        <f t="shared" si="9"/>
        <v>Riella helicophylla</v>
      </c>
    </row>
    <row r="614" spans="1:13" ht="15" customHeight="1" x14ac:dyDescent="0.2">
      <c r="A614" s="14" t="s">
        <v>695</v>
      </c>
      <c r="B614" s="15">
        <v>7648</v>
      </c>
      <c r="C614" s="16" t="s">
        <v>1255</v>
      </c>
      <c r="D614" s="15" t="s">
        <v>2481</v>
      </c>
      <c r="E614" s="17" t="s">
        <v>1293</v>
      </c>
      <c r="F614" s="18"/>
      <c r="G614" s="18"/>
      <c r="H614" s="18" t="s">
        <v>547</v>
      </c>
      <c r="I614" s="14" t="s">
        <v>1294</v>
      </c>
      <c r="J614" s="18"/>
      <c r="K614" s="18"/>
      <c r="M614" s="20" t="str">
        <f t="shared" si="9"/>
        <v>Rosmarinus tomentosus</v>
      </c>
    </row>
    <row r="615" spans="1:13" ht="13.5" customHeight="1" x14ac:dyDescent="0.2">
      <c r="A615" s="14" t="s">
        <v>695</v>
      </c>
      <c r="B615" s="15">
        <v>7723</v>
      </c>
      <c r="C615" s="16" t="s">
        <v>2482</v>
      </c>
      <c r="D615" s="14" t="s">
        <v>2483</v>
      </c>
      <c r="E615" s="17" t="s">
        <v>1293</v>
      </c>
      <c r="F615" s="18" t="s">
        <v>2484</v>
      </c>
      <c r="G615" s="18"/>
      <c r="H615" s="18" t="s">
        <v>547</v>
      </c>
      <c r="I615" s="14" t="s">
        <v>1294</v>
      </c>
      <c r="J615" s="18"/>
      <c r="K615" s="18"/>
      <c r="M615" s="20" t="str">
        <f t="shared" si="9"/>
        <v>Rumex rupestris</v>
      </c>
    </row>
    <row r="616" spans="1:13" ht="15" customHeight="1" x14ac:dyDescent="0.2">
      <c r="A616" s="14" t="s">
        <v>695</v>
      </c>
      <c r="B616" s="15">
        <v>7847</v>
      </c>
      <c r="C616" s="16" t="s">
        <v>1262</v>
      </c>
      <c r="D616" s="15" t="s">
        <v>2485</v>
      </c>
      <c r="E616" s="17" t="s">
        <v>1318</v>
      </c>
      <c r="F616" s="18" t="s">
        <v>1263</v>
      </c>
      <c r="G616" s="18"/>
      <c r="H616" s="18" t="s">
        <v>1300</v>
      </c>
      <c r="I616" s="14" t="s">
        <v>1294</v>
      </c>
      <c r="J616" s="18"/>
      <c r="K616" s="18"/>
      <c r="M616" s="20" t="str">
        <f t="shared" si="9"/>
        <v>Rupicapnos africana subsp. decipiens</v>
      </c>
    </row>
    <row r="617" spans="1:13" ht="16.5" customHeight="1" x14ac:dyDescent="0.2">
      <c r="A617" s="14" t="s">
        <v>695</v>
      </c>
      <c r="B617" s="15">
        <v>983</v>
      </c>
      <c r="C617" s="16" t="s">
        <v>2486</v>
      </c>
      <c r="D617" s="15" t="s">
        <v>2487</v>
      </c>
      <c r="E617" s="17" t="s">
        <v>1293</v>
      </c>
      <c r="F617" s="18" t="s">
        <v>2488</v>
      </c>
      <c r="G617" s="18"/>
      <c r="H617" s="18" t="s">
        <v>1300</v>
      </c>
      <c r="I617" s="14" t="s">
        <v>1294</v>
      </c>
      <c r="J617" s="18"/>
      <c r="K617" s="18"/>
      <c r="M617" s="20" t="str">
        <f t="shared" si="9"/>
        <v>Ruta microcarpa</v>
      </c>
    </row>
    <row r="618" spans="1:13" ht="15" customHeight="1" x14ac:dyDescent="0.2">
      <c r="A618" s="14" t="s">
        <v>695</v>
      </c>
      <c r="B618" s="15">
        <v>8252</v>
      </c>
      <c r="C618" s="16" t="s">
        <v>2489</v>
      </c>
      <c r="D618" s="14" t="s">
        <v>2490</v>
      </c>
      <c r="E618" s="17" t="s">
        <v>1293</v>
      </c>
      <c r="F618" s="18"/>
      <c r="G618" s="18"/>
      <c r="H618" s="18" t="s">
        <v>1300</v>
      </c>
      <c r="I618" s="14" t="s">
        <v>1411</v>
      </c>
      <c r="J618" s="18"/>
      <c r="K618" s="16"/>
      <c r="M618" s="20" t="str">
        <f t="shared" si="9"/>
        <v>Seseli farrenyii</v>
      </c>
    </row>
    <row r="619" spans="1:13" ht="15" customHeight="1" x14ac:dyDescent="0.2">
      <c r="A619" s="14" t="s">
        <v>695</v>
      </c>
      <c r="B619" s="15">
        <v>8366</v>
      </c>
      <c r="C619" s="16" t="s">
        <v>2491</v>
      </c>
      <c r="D619" s="15" t="s">
        <v>2492</v>
      </c>
      <c r="E619" s="17" t="s">
        <v>1293</v>
      </c>
      <c r="F619" s="18"/>
      <c r="G619" s="18"/>
      <c r="H619" s="18" t="s">
        <v>1300</v>
      </c>
      <c r="I619" s="14" t="s">
        <v>1411</v>
      </c>
      <c r="J619" s="18"/>
      <c r="K619" s="18"/>
      <c r="M619" s="20" t="str">
        <f t="shared" si="9"/>
        <v>Silene sennenii</v>
      </c>
    </row>
    <row r="620" spans="1:13" ht="15" customHeight="1" x14ac:dyDescent="0.2">
      <c r="A620" s="41" t="s">
        <v>695</v>
      </c>
      <c r="B620" s="42">
        <v>8506</v>
      </c>
      <c r="C620" s="49" t="s">
        <v>2493</v>
      </c>
      <c r="D620" s="41" t="s">
        <v>2494</v>
      </c>
      <c r="E620" s="17" t="s">
        <v>1293</v>
      </c>
      <c r="F620" s="45" t="s">
        <v>2495</v>
      </c>
      <c r="G620" s="45"/>
      <c r="H620" s="45" t="s">
        <v>1300</v>
      </c>
      <c r="I620" s="41" t="s">
        <v>1682</v>
      </c>
      <c r="J620" s="18"/>
      <c r="K620" s="18"/>
      <c r="M620" s="20" t="str">
        <f t="shared" si="9"/>
        <v>Sparganium natans</v>
      </c>
    </row>
    <row r="621" spans="1:13" ht="15" customHeight="1" x14ac:dyDescent="0.2">
      <c r="A621" s="14" t="s">
        <v>695</v>
      </c>
      <c r="B621" s="15">
        <v>8622</v>
      </c>
      <c r="C621" s="16" t="s">
        <v>2496</v>
      </c>
      <c r="D621" s="15" t="s">
        <v>2497</v>
      </c>
      <c r="E621" s="17" t="s">
        <v>1293</v>
      </c>
      <c r="F621" s="18"/>
      <c r="G621" s="18"/>
      <c r="H621" s="18" t="s">
        <v>1300</v>
      </c>
      <c r="I621" s="14" t="s">
        <v>1411</v>
      </c>
      <c r="J621" s="18"/>
      <c r="K621" s="18"/>
      <c r="M621" s="20" t="str">
        <f t="shared" si="9"/>
        <v>Stachys maritima</v>
      </c>
    </row>
    <row r="622" spans="1:13" ht="28.15" customHeight="1" x14ac:dyDescent="0.25">
      <c r="A622" s="14" t="s">
        <v>695</v>
      </c>
      <c r="B622" s="15">
        <v>33114</v>
      </c>
      <c r="C622" s="16" t="s">
        <v>2498</v>
      </c>
      <c r="D622" s="15" t="s">
        <v>2499</v>
      </c>
      <c r="E622" s="18" t="s">
        <v>1293</v>
      </c>
      <c r="F622" s="18" t="s">
        <v>2500</v>
      </c>
      <c r="G622" s="18"/>
      <c r="H622" s="18" t="s">
        <v>1300</v>
      </c>
      <c r="I622" s="14" t="s">
        <v>1294</v>
      </c>
      <c r="J622" s="18"/>
      <c r="K622" s="18"/>
      <c r="M622" s="20" t="str">
        <f t="shared" si="9"/>
        <v>Salvia herbanica</v>
      </c>
    </row>
    <row r="623" spans="1:13" ht="15" customHeight="1" x14ac:dyDescent="0.2">
      <c r="A623" s="14" t="s">
        <v>695</v>
      </c>
      <c r="B623" s="15">
        <v>6</v>
      </c>
      <c r="C623" s="16" t="s">
        <v>2501</v>
      </c>
      <c r="D623" s="15" t="s">
        <v>2502</v>
      </c>
      <c r="E623" s="17" t="s">
        <v>1318</v>
      </c>
      <c r="F623" s="18" t="s">
        <v>2503</v>
      </c>
      <c r="G623" s="18"/>
      <c r="H623" s="18" t="s">
        <v>1300</v>
      </c>
      <c r="I623" s="14" t="s">
        <v>1294</v>
      </c>
      <c r="J623" s="18"/>
      <c r="K623" s="18"/>
      <c r="M623" s="20" t="str">
        <f t="shared" si="9"/>
        <v>Sambucus palmensis</v>
      </c>
    </row>
    <row r="624" spans="1:13" ht="15" customHeight="1" x14ac:dyDescent="0.2">
      <c r="A624" s="14" t="s">
        <v>695</v>
      </c>
      <c r="B624" s="15">
        <v>661</v>
      </c>
      <c r="C624" s="16" t="s">
        <v>1254</v>
      </c>
      <c r="D624" s="15" t="s">
        <v>2504</v>
      </c>
      <c r="E624" s="17" t="s">
        <v>1293</v>
      </c>
      <c r="F624" s="18"/>
      <c r="G624" s="18"/>
      <c r="H624" s="18" t="s">
        <v>547</v>
      </c>
      <c r="I624" s="14" t="s">
        <v>1294</v>
      </c>
      <c r="J624" s="18"/>
      <c r="K624" s="18"/>
      <c r="M624" s="20" t="str">
        <f t="shared" si="9"/>
        <v>Santolina elegans</v>
      </c>
    </row>
    <row r="625" spans="1:13" ht="15" customHeight="1" x14ac:dyDescent="0.2">
      <c r="A625" s="14" t="s">
        <v>695</v>
      </c>
      <c r="B625" s="15">
        <v>24278</v>
      </c>
      <c r="C625" s="16" t="s">
        <v>2505</v>
      </c>
      <c r="D625" s="15" t="s">
        <v>2506</v>
      </c>
      <c r="E625" s="17" t="s">
        <v>1293</v>
      </c>
      <c r="F625" s="18"/>
      <c r="G625" s="18"/>
      <c r="H625" s="18" t="s">
        <v>547</v>
      </c>
      <c r="I625" s="14" t="s">
        <v>1294</v>
      </c>
      <c r="J625" s="18"/>
      <c r="K625" s="18"/>
      <c r="M625" s="20" t="str">
        <f t="shared" si="9"/>
        <v>Santolina semidentata</v>
      </c>
    </row>
    <row r="626" spans="1:13" ht="15" customHeight="1" x14ac:dyDescent="0.2">
      <c r="A626" s="14" t="s">
        <v>695</v>
      </c>
      <c r="B626" s="15">
        <v>7976</v>
      </c>
      <c r="C626" s="16" t="s">
        <v>2507</v>
      </c>
      <c r="D626" s="15" t="s">
        <v>2508</v>
      </c>
      <c r="E626" s="17" t="s">
        <v>1293</v>
      </c>
      <c r="F626" s="18" t="s">
        <v>1267</v>
      </c>
      <c r="G626" s="18"/>
      <c r="H626" s="18" t="s">
        <v>562</v>
      </c>
      <c r="I626" s="14" t="s">
        <v>1294</v>
      </c>
      <c r="J626" s="18"/>
      <c r="K626" s="18"/>
      <c r="M626" s="20" t="str">
        <f t="shared" si="9"/>
        <v>Sarcocapnos baetica subsp. baetica</v>
      </c>
    </row>
    <row r="627" spans="1:13" ht="15" customHeight="1" x14ac:dyDescent="0.2">
      <c r="A627" s="14" t="s">
        <v>695</v>
      </c>
      <c r="B627" s="15">
        <v>24414</v>
      </c>
      <c r="C627" s="16" t="s">
        <v>2509</v>
      </c>
      <c r="D627" s="30" t="s">
        <v>2510</v>
      </c>
      <c r="E627" s="17" t="s">
        <v>1293</v>
      </c>
      <c r="F627" s="18"/>
      <c r="G627" s="18"/>
      <c r="H627" s="18" t="s">
        <v>562</v>
      </c>
      <c r="I627" s="14" t="s">
        <v>1294</v>
      </c>
      <c r="J627" s="18"/>
      <c r="K627" s="18"/>
      <c r="M627" s="20" t="str">
        <f t="shared" si="9"/>
        <v>Sarcocapnos baetica subsp. integriflora</v>
      </c>
    </row>
    <row r="628" spans="1:13" s="25" customFormat="1" ht="15" customHeight="1" x14ac:dyDescent="0.2">
      <c r="A628" s="15" t="s">
        <v>695</v>
      </c>
      <c r="B628" s="48">
        <v>7980</v>
      </c>
      <c r="C628" s="21" t="s">
        <v>1268</v>
      </c>
      <c r="D628" s="22" t="s">
        <v>2511</v>
      </c>
      <c r="E628" s="23" t="s">
        <v>1293</v>
      </c>
      <c r="F628" s="24" t="s">
        <v>1269</v>
      </c>
      <c r="G628" s="24"/>
      <c r="H628" s="24" t="s">
        <v>1300</v>
      </c>
      <c r="I628" s="15" t="s">
        <v>1294</v>
      </c>
      <c r="J628" s="24"/>
      <c r="K628" s="24"/>
      <c r="M628" s="20" t="str">
        <f t="shared" si="9"/>
        <v>Sarcocapnos speciosa</v>
      </c>
    </row>
    <row r="629" spans="1:13" ht="15" customHeight="1" x14ac:dyDescent="0.2">
      <c r="A629" s="14" t="s">
        <v>695</v>
      </c>
      <c r="B629" s="15">
        <v>13116</v>
      </c>
      <c r="C629" s="16" t="s">
        <v>1181</v>
      </c>
      <c r="D629" s="14" t="s">
        <v>2512</v>
      </c>
      <c r="E629" s="17" t="s">
        <v>1293</v>
      </c>
      <c r="F629" s="18"/>
      <c r="G629" s="18" t="s">
        <v>1774</v>
      </c>
      <c r="H629" s="18" t="s">
        <v>547</v>
      </c>
      <c r="I629" s="14" t="s">
        <v>1294</v>
      </c>
      <c r="J629" s="18"/>
      <c r="K629" s="18"/>
      <c r="M629" s="20" t="str">
        <f t="shared" si="9"/>
        <v>Sargassum acinarium</v>
      </c>
    </row>
    <row r="630" spans="1:13" ht="15" customHeight="1" x14ac:dyDescent="0.2">
      <c r="A630" s="14" t="s">
        <v>695</v>
      </c>
      <c r="B630" s="15">
        <v>13120</v>
      </c>
      <c r="C630" s="16" t="s">
        <v>2513</v>
      </c>
      <c r="D630" s="14" t="s">
        <v>2514</v>
      </c>
      <c r="E630" s="17" t="s">
        <v>1293</v>
      </c>
      <c r="F630" s="18"/>
      <c r="G630" s="18" t="s">
        <v>1774</v>
      </c>
      <c r="H630" s="18" t="s">
        <v>547</v>
      </c>
      <c r="I630" s="14" t="s">
        <v>1294</v>
      </c>
      <c r="J630" s="18"/>
      <c r="K630" s="18"/>
      <c r="M630" s="20" t="str">
        <f t="shared" si="9"/>
        <v>Sargassum flavifolium</v>
      </c>
    </row>
    <row r="631" spans="1:13" ht="15" customHeight="1" x14ac:dyDescent="0.2">
      <c r="A631" s="14" t="s">
        <v>695</v>
      </c>
      <c r="B631" s="15">
        <v>13122</v>
      </c>
      <c r="C631" s="16" t="s">
        <v>2515</v>
      </c>
      <c r="D631" s="14" t="s">
        <v>2516</v>
      </c>
      <c r="E631" s="17" t="s">
        <v>1293</v>
      </c>
      <c r="F631" s="18"/>
      <c r="G631" s="18" t="s">
        <v>1774</v>
      </c>
      <c r="H631" s="18" t="s">
        <v>547</v>
      </c>
      <c r="I631" s="14" t="s">
        <v>1294</v>
      </c>
      <c r="J631" s="18"/>
      <c r="K631" s="18"/>
      <c r="M631" s="20" t="str">
        <f t="shared" si="9"/>
        <v>Sargassum hornschuchii</v>
      </c>
    </row>
    <row r="632" spans="1:13" ht="15" customHeight="1" x14ac:dyDescent="0.2">
      <c r="A632" s="14" t="s">
        <v>695</v>
      </c>
      <c r="B632" s="15">
        <v>13126</v>
      </c>
      <c r="C632" s="16" t="s">
        <v>1182</v>
      </c>
      <c r="D632" s="14" t="s">
        <v>2517</v>
      </c>
      <c r="E632" s="17" t="s">
        <v>1293</v>
      </c>
      <c r="F632" s="18"/>
      <c r="G632" s="18" t="s">
        <v>1774</v>
      </c>
      <c r="H632" s="18" t="s">
        <v>547</v>
      </c>
      <c r="I632" s="14" t="s">
        <v>1294</v>
      </c>
      <c r="J632" s="18"/>
      <c r="K632" s="18"/>
      <c r="M632" s="20" t="str">
        <f t="shared" si="9"/>
        <v>Sargassum trichocarpum</v>
      </c>
    </row>
    <row r="633" spans="1:13" ht="15" customHeight="1" x14ac:dyDescent="0.2">
      <c r="A633" s="14" t="s">
        <v>695</v>
      </c>
      <c r="B633" s="15">
        <v>8063</v>
      </c>
      <c r="C633" s="16" t="s">
        <v>2518</v>
      </c>
      <c r="D633" s="14" t="s">
        <v>2519</v>
      </c>
      <c r="E633" s="17" t="s">
        <v>1293</v>
      </c>
      <c r="F633" s="18"/>
      <c r="G633" s="18"/>
      <c r="H633" s="18" t="s">
        <v>547</v>
      </c>
      <c r="I633" s="14" t="s">
        <v>1294</v>
      </c>
      <c r="J633" s="18"/>
      <c r="K633" s="18"/>
      <c r="M633" s="20" t="str">
        <f t="shared" si="9"/>
        <v>Saxifraga vayredana</v>
      </c>
    </row>
    <row r="634" spans="1:13" ht="15" customHeight="1" x14ac:dyDescent="0.2">
      <c r="A634" s="14" t="s">
        <v>695</v>
      </c>
      <c r="B634" s="15">
        <v>13366</v>
      </c>
      <c r="C634" s="16" t="s">
        <v>1183</v>
      </c>
      <c r="D634" s="14" t="s">
        <v>2520</v>
      </c>
      <c r="E634" s="17" t="s">
        <v>1293</v>
      </c>
      <c r="F634" s="18"/>
      <c r="G634" s="18" t="s">
        <v>1774</v>
      </c>
      <c r="H634" s="18" t="s">
        <v>547</v>
      </c>
      <c r="I634" s="14" t="s">
        <v>1294</v>
      </c>
      <c r="J634" s="18"/>
      <c r="K634" s="18"/>
      <c r="M634" s="20" t="str">
        <f t="shared" si="9"/>
        <v>Schimmelmannia schousboei</v>
      </c>
    </row>
    <row r="635" spans="1:13" ht="15" customHeight="1" x14ac:dyDescent="0.2">
      <c r="A635" s="14" t="s">
        <v>695</v>
      </c>
      <c r="B635" s="15">
        <v>795</v>
      </c>
      <c r="C635" s="16" t="s">
        <v>2521</v>
      </c>
      <c r="D635" s="15" t="s">
        <v>2522</v>
      </c>
      <c r="E635" s="17" t="s">
        <v>1293</v>
      </c>
      <c r="F635" s="18" t="s">
        <v>1245</v>
      </c>
      <c r="G635" s="18"/>
      <c r="H635" s="18" t="s">
        <v>1300</v>
      </c>
      <c r="I635" s="14" t="s">
        <v>1294</v>
      </c>
      <c r="J635" s="18"/>
      <c r="K635" s="18"/>
      <c r="M635" s="20" t="str">
        <f t="shared" si="9"/>
        <v>Senecio elodes</v>
      </c>
    </row>
    <row r="636" spans="1:13" ht="15.75" customHeight="1" x14ac:dyDescent="0.2">
      <c r="A636" s="14" t="s">
        <v>695</v>
      </c>
      <c r="B636" s="15">
        <v>33040</v>
      </c>
      <c r="C636" s="16" t="s">
        <v>2523</v>
      </c>
      <c r="D636" s="15" t="s">
        <v>2524</v>
      </c>
      <c r="E636" s="17" t="s">
        <v>1293</v>
      </c>
      <c r="F636" s="29" t="s">
        <v>2525</v>
      </c>
      <c r="G636" s="18"/>
      <c r="H636" s="18" t="s">
        <v>547</v>
      </c>
      <c r="I636" s="14" t="s">
        <v>1294</v>
      </c>
      <c r="J636" s="18"/>
      <c r="K636" s="35" t="s">
        <v>2526</v>
      </c>
      <c r="M636" s="20" t="str">
        <f t="shared" si="9"/>
        <v>Senecio hermosae</v>
      </c>
    </row>
    <row r="637" spans="1:13" ht="15" customHeight="1" x14ac:dyDescent="0.2">
      <c r="A637" s="14" t="s">
        <v>695</v>
      </c>
      <c r="B637" s="15">
        <v>740</v>
      </c>
      <c r="C637" s="16" t="s">
        <v>2527</v>
      </c>
      <c r="D637" s="14" t="s">
        <v>2528</v>
      </c>
      <c r="E637" s="17" t="s">
        <v>1293</v>
      </c>
      <c r="F637" s="18"/>
      <c r="G637" s="18"/>
      <c r="H637" s="18" t="s">
        <v>547</v>
      </c>
      <c r="I637" s="14" t="s">
        <v>1294</v>
      </c>
      <c r="J637" s="18"/>
      <c r="K637" s="18"/>
      <c r="M637" s="20" t="str">
        <f t="shared" si="9"/>
        <v>Senecio nevadensis</v>
      </c>
    </row>
    <row r="638" spans="1:13" ht="15" customHeight="1" x14ac:dyDescent="0.2">
      <c r="A638" s="14" t="s">
        <v>695</v>
      </c>
      <c r="B638" s="15">
        <v>8092</v>
      </c>
      <c r="C638" s="16" t="s">
        <v>1188</v>
      </c>
      <c r="D638" s="14" t="s">
        <v>2529</v>
      </c>
      <c r="E638" s="17" t="s">
        <v>1293</v>
      </c>
      <c r="F638" s="18"/>
      <c r="G638" s="18"/>
      <c r="H638" s="18" t="s">
        <v>562</v>
      </c>
      <c r="I638" s="14" t="s">
        <v>1294</v>
      </c>
      <c r="J638" s="18"/>
      <c r="K638" s="18"/>
      <c r="M638" s="20" t="str">
        <f t="shared" si="9"/>
        <v>Seseli intricatum</v>
      </c>
    </row>
    <row r="639" spans="1:13" ht="15" customHeight="1" x14ac:dyDescent="0.2">
      <c r="A639" s="14" t="s">
        <v>695</v>
      </c>
      <c r="B639" s="15">
        <v>1004</v>
      </c>
      <c r="C639" s="16" t="s">
        <v>2530</v>
      </c>
      <c r="D639" s="14" t="s">
        <v>2531</v>
      </c>
      <c r="E639" s="17" t="s">
        <v>1293</v>
      </c>
      <c r="F639" s="18" t="s">
        <v>2532</v>
      </c>
      <c r="G639" s="18"/>
      <c r="H639" s="18" t="s">
        <v>1300</v>
      </c>
      <c r="I639" s="14" t="s">
        <v>1294</v>
      </c>
      <c r="J639" s="18"/>
      <c r="K639" s="18"/>
      <c r="M639" s="20" t="str">
        <f t="shared" si="9"/>
        <v>Sideritis cystosiphon</v>
      </c>
    </row>
    <row r="640" spans="1:13" ht="15" customHeight="1" x14ac:dyDescent="0.2">
      <c r="A640" s="14" t="s">
        <v>695</v>
      </c>
      <c r="B640" s="15">
        <v>1005</v>
      </c>
      <c r="C640" s="16" t="s">
        <v>2533</v>
      </c>
      <c r="D640" s="14" t="s">
        <v>2534</v>
      </c>
      <c r="E640" s="17" t="s">
        <v>1293</v>
      </c>
      <c r="F640" s="18" t="s">
        <v>2535</v>
      </c>
      <c r="G640" s="18"/>
      <c r="H640" s="18" t="s">
        <v>1300</v>
      </c>
      <c r="I640" s="14" t="s">
        <v>1294</v>
      </c>
      <c r="J640" s="18"/>
      <c r="K640" s="18"/>
      <c r="M640" s="20" t="str">
        <f t="shared" si="9"/>
        <v>Sideritis discolor</v>
      </c>
    </row>
    <row r="641" spans="1:13" ht="15" customHeight="1" x14ac:dyDescent="0.2">
      <c r="A641" s="14" t="s">
        <v>695</v>
      </c>
      <c r="B641" s="15">
        <v>8328</v>
      </c>
      <c r="C641" s="16" t="s">
        <v>2536</v>
      </c>
      <c r="D641" s="14" t="s">
        <v>2537</v>
      </c>
      <c r="E641" s="17" t="s">
        <v>1293</v>
      </c>
      <c r="F641" s="18"/>
      <c r="G641" s="18"/>
      <c r="H641" s="18" t="s">
        <v>547</v>
      </c>
      <c r="I641" s="14" t="s">
        <v>1294</v>
      </c>
      <c r="J641" s="18"/>
      <c r="K641" s="18"/>
      <c r="M641" s="20" t="str">
        <f t="shared" si="9"/>
        <v>Sideritis glauca</v>
      </c>
    </row>
    <row r="642" spans="1:13" ht="15" customHeight="1" x14ac:dyDescent="0.2">
      <c r="A642" s="14" t="s">
        <v>695</v>
      </c>
      <c r="B642" s="15">
        <v>1006</v>
      </c>
      <c r="C642" s="16" t="s">
        <v>2538</v>
      </c>
      <c r="D642" s="14" t="s">
        <v>2539</v>
      </c>
      <c r="E642" s="17" t="s">
        <v>1293</v>
      </c>
      <c r="F642" s="18" t="s">
        <v>2540</v>
      </c>
      <c r="G642" s="18"/>
      <c r="H642" s="18" t="s">
        <v>547</v>
      </c>
      <c r="I642" s="14" t="s">
        <v>1294</v>
      </c>
      <c r="J642" s="18"/>
      <c r="K642" s="18"/>
      <c r="M642" s="20" t="str">
        <f t="shared" si="9"/>
        <v>Sideritis infernalis</v>
      </c>
    </row>
    <row r="643" spans="1:13" s="25" customFormat="1" ht="15" customHeight="1" x14ac:dyDescent="0.2">
      <c r="A643" s="15" t="s">
        <v>695</v>
      </c>
      <c r="B643" s="15">
        <v>24283</v>
      </c>
      <c r="C643" s="21" t="s">
        <v>2541</v>
      </c>
      <c r="D643" s="22" t="s">
        <v>2542</v>
      </c>
      <c r="E643" s="23" t="s">
        <v>1293</v>
      </c>
      <c r="F643" s="24"/>
      <c r="G643" s="24"/>
      <c r="H643" s="24" t="s">
        <v>547</v>
      </c>
      <c r="I643" s="15" t="s">
        <v>1294</v>
      </c>
      <c r="J643" s="24"/>
      <c r="K643" s="24"/>
      <c r="M643" s="20" t="str">
        <f t="shared" ref="M643:M706" si="10">TRIM(C643)</f>
        <v>Sideritis javalambrensis</v>
      </c>
    </row>
    <row r="644" spans="1:13" s="25" customFormat="1" ht="15" customHeight="1" x14ac:dyDescent="0.2">
      <c r="A644" s="15" t="s">
        <v>695</v>
      </c>
      <c r="B644" s="15">
        <v>1007</v>
      </c>
      <c r="C644" s="21" t="s">
        <v>2543</v>
      </c>
      <c r="D644" s="15" t="s">
        <v>2544</v>
      </c>
      <c r="E644" s="23" t="s">
        <v>1293</v>
      </c>
      <c r="F644" s="24" t="s">
        <v>2545</v>
      </c>
      <c r="G644" s="24"/>
      <c r="H644" s="24" t="s">
        <v>547</v>
      </c>
      <c r="I644" s="15" t="s">
        <v>1294</v>
      </c>
      <c r="J644" s="24"/>
      <c r="K644" s="24"/>
      <c r="M644" s="20" t="str">
        <f t="shared" si="10"/>
        <v>Sideritis marmorea</v>
      </c>
    </row>
    <row r="645" spans="1:13" s="25" customFormat="1" ht="15" customHeight="1" x14ac:dyDescent="0.2">
      <c r="A645" s="15" t="s">
        <v>695</v>
      </c>
      <c r="B645" s="15">
        <v>8351</v>
      </c>
      <c r="C645" s="21" t="s">
        <v>2546</v>
      </c>
      <c r="D645" s="15" t="s">
        <v>2547</v>
      </c>
      <c r="E645" s="23" t="s">
        <v>1293</v>
      </c>
      <c r="F645" s="24"/>
      <c r="G645" s="24"/>
      <c r="H645" s="24" t="s">
        <v>1300</v>
      </c>
      <c r="I645" s="15" t="s">
        <v>1294</v>
      </c>
      <c r="J645" s="24"/>
      <c r="K645" s="24"/>
      <c r="M645" s="20" t="str">
        <f t="shared" si="10"/>
        <v>Sideritis serrata</v>
      </c>
    </row>
    <row r="646" spans="1:13" s="25" customFormat="1" ht="15" customHeight="1" x14ac:dyDescent="0.2">
      <c r="A646" s="15" t="s">
        <v>695</v>
      </c>
      <c r="B646" s="48">
        <v>79803</v>
      </c>
      <c r="C646" s="21" t="s">
        <v>2548</v>
      </c>
      <c r="D646" s="48" t="s">
        <v>2549</v>
      </c>
      <c r="E646" s="23" t="s">
        <v>1293</v>
      </c>
      <c r="F646" s="24" t="s">
        <v>2550</v>
      </c>
      <c r="G646" s="24"/>
      <c r="H646" s="24" t="s">
        <v>547</v>
      </c>
      <c r="I646" s="15" t="s">
        <v>1294</v>
      </c>
      <c r="J646" s="24"/>
      <c r="K646" s="24"/>
      <c r="M646" s="20" t="str">
        <f t="shared" si="10"/>
        <v>Sideroxylon marmulano</v>
      </c>
    </row>
    <row r="647" spans="1:13" s="25" customFormat="1" ht="15" customHeight="1" x14ac:dyDescent="0.2">
      <c r="A647" s="15" t="s">
        <v>695</v>
      </c>
      <c r="B647" s="15">
        <v>8396</v>
      </c>
      <c r="C647" s="21" t="s">
        <v>2551</v>
      </c>
      <c r="D647" s="15" t="s">
        <v>2552</v>
      </c>
      <c r="E647" s="23" t="s">
        <v>1293</v>
      </c>
      <c r="F647" s="24" t="s">
        <v>2553</v>
      </c>
      <c r="G647" s="24" t="s">
        <v>1955</v>
      </c>
      <c r="H647" s="24" t="s">
        <v>562</v>
      </c>
      <c r="I647" s="15" t="s">
        <v>1294</v>
      </c>
      <c r="J647" s="24"/>
      <c r="K647" s="24"/>
      <c r="M647" s="20" t="str">
        <f t="shared" si="10"/>
        <v>Silene hifacensis</v>
      </c>
    </row>
    <row r="648" spans="1:13" s="25" customFormat="1" ht="15" customHeight="1" x14ac:dyDescent="0.2">
      <c r="A648" s="15" t="s">
        <v>695</v>
      </c>
      <c r="B648" s="15">
        <v>8396</v>
      </c>
      <c r="C648" s="21" t="s">
        <v>2551</v>
      </c>
      <c r="D648" s="15" t="s">
        <v>2552</v>
      </c>
      <c r="E648" s="23" t="s">
        <v>1293</v>
      </c>
      <c r="F648" s="24" t="s">
        <v>2554</v>
      </c>
      <c r="G648" s="24" t="s">
        <v>1508</v>
      </c>
      <c r="H648" s="24" t="s">
        <v>562</v>
      </c>
      <c r="I648" s="15" t="s">
        <v>1483</v>
      </c>
      <c r="J648" s="24" t="s">
        <v>2291</v>
      </c>
      <c r="K648" s="24"/>
      <c r="M648" s="20" t="str">
        <f t="shared" si="10"/>
        <v>Silene hifacensis</v>
      </c>
    </row>
    <row r="649" spans="1:13" s="25" customFormat="1" ht="15" customHeight="1" x14ac:dyDescent="0.2">
      <c r="A649" s="15" t="s">
        <v>695</v>
      </c>
      <c r="B649" s="15">
        <v>8411</v>
      </c>
      <c r="C649" s="21" t="s">
        <v>1258</v>
      </c>
      <c r="D649" s="15" t="s">
        <v>2555</v>
      </c>
      <c r="E649" s="23" t="s">
        <v>1293</v>
      </c>
      <c r="F649" s="24"/>
      <c r="G649" s="24"/>
      <c r="H649" s="24" t="s">
        <v>547</v>
      </c>
      <c r="I649" s="15" t="s">
        <v>1294</v>
      </c>
      <c r="J649" s="24"/>
      <c r="K649" s="24"/>
      <c r="M649" s="20" t="str">
        <f t="shared" si="10"/>
        <v>Silene mariana</v>
      </c>
    </row>
    <row r="650" spans="1:13" s="25" customFormat="1" ht="15" customHeight="1" x14ac:dyDescent="0.2">
      <c r="A650" s="15" t="s">
        <v>695</v>
      </c>
      <c r="B650" s="15">
        <v>1035</v>
      </c>
      <c r="C650" s="21" t="s">
        <v>2556</v>
      </c>
      <c r="D650" s="15" t="s">
        <v>2557</v>
      </c>
      <c r="E650" s="23" t="s">
        <v>1293</v>
      </c>
      <c r="F650" s="24" t="s">
        <v>2558</v>
      </c>
      <c r="G650" s="24"/>
      <c r="H650" s="24" t="s">
        <v>562</v>
      </c>
      <c r="I650" s="15" t="s">
        <v>1294</v>
      </c>
      <c r="J650" s="24"/>
      <c r="K650" s="24"/>
      <c r="M650" s="20" t="str">
        <f t="shared" si="10"/>
        <v>Silene nocteolens</v>
      </c>
    </row>
    <row r="651" spans="1:13" s="25" customFormat="1" ht="15" customHeight="1" x14ac:dyDescent="0.2">
      <c r="A651" s="15" t="s">
        <v>695</v>
      </c>
      <c r="B651" s="15">
        <v>8455</v>
      </c>
      <c r="C651" s="21" t="s">
        <v>1225</v>
      </c>
      <c r="D651" s="15" t="s">
        <v>2559</v>
      </c>
      <c r="E651" s="23" t="s">
        <v>1293</v>
      </c>
      <c r="F651" s="24"/>
      <c r="G651" s="24"/>
      <c r="H651" s="24" t="s">
        <v>547</v>
      </c>
      <c r="I651" s="15" t="s">
        <v>1294</v>
      </c>
      <c r="J651" s="24"/>
      <c r="K651" s="24"/>
      <c r="M651" s="20" t="str">
        <f t="shared" si="10"/>
        <v>Sisymbrium cavanillesianum</v>
      </c>
    </row>
    <row r="652" spans="1:13" s="25" customFormat="1" ht="15" customHeight="1" x14ac:dyDescent="0.2">
      <c r="A652" s="15" t="s">
        <v>695</v>
      </c>
      <c r="B652" s="15">
        <v>1036</v>
      </c>
      <c r="C652" s="21" t="s">
        <v>2560</v>
      </c>
      <c r="D652" s="15" t="s">
        <v>2561</v>
      </c>
      <c r="E652" s="23" t="s">
        <v>1293</v>
      </c>
      <c r="F652" s="24" t="s">
        <v>2562</v>
      </c>
      <c r="G652" s="24"/>
      <c r="H652" s="24" t="s">
        <v>1300</v>
      </c>
      <c r="I652" s="15" t="s">
        <v>1294</v>
      </c>
      <c r="J652" s="24"/>
      <c r="K652" s="24"/>
      <c r="M652" s="20" t="str">
        <f t="shared" si="10"/>
        <v>Solanum lidii</v>
      </c>
    </row>
    <row r="653" spans="1:13" s="25" customFormat="1" ht="15" customHeight="1" x14ac:dyDescent="0.2">
      <c r="A653" s="15" t="s">
        <v>695</v>
      </c>
      <c r="B653" s="15">
        <v>758</v>
      </c>
      <c r="C653" s="21" t="s">
        <v>2563</v>
      </c>
      <c r="D653" s="15" t="s">
        <v>2564</v>
      </c>
      <c r="E653" s="23" t="s">
        <v>1318</v>
      </c>
      <c r="F653" s="24" t="s">
        <v>2565</v>
      </c>
      <c r="G653" s="24"/>
      <c r="H653" s="24" t="s">
        <v>1300</v>
      </c>
      <c r="I653" s="15" t="s">
        <v>1294</v>
      </c>
      <c r="J653" s="24"/>
      <c r="K653" s="24"/>
      <c r="M653" s="20" t="str">
        <f t="shared" si="10"/>
        <v>Solanum vespertilio subsp. doramae</v>
      </c>
    </row>
    <row r="654" spans="1:13" s="25" customFormat="1" ht="12.75" customHeight="1" x14ac:dyDescent="0.2">
      <c r="A654" s="15" t="s">
        <v>695</v>
      </c>
      <c r="B654" s="15">
        <v>8495</v>
      </c>
      <c r="C654" s="21" t="s">
        <v>2566</v>
      </c>
      <c r="D654" s="15" t="s">
        <v>2567</v>
      </c>
      <c r="E654" s="23" t="s">
        <v>1293</v>
      </c>
      <c r="F654" s="24"/>
      <c r="G654" s="24"/>
      <c r="H654" s="24" t="s">
        <v>547</v>
      </c>
      <c r="I654" s="15" t="s">
        <v>1294</v>
      </c>
      <c r="J654" s="24"/>
      <c r="K654" s="24"/>
      <c r="M654" s="20" t="str">
        <f t="shared" si="10"/>
        <v>Soldanella villosa</v>
      </c>
    </row>
    <row r="655" spans="1:13" ht="15" customHeight="1" x14ac:dyDescent="0.2">
      <c r="A655" s="14" t="s">
        <v>695</v>
      </c>
      <c r="B655" s="15">
        <v>1039</v>
      </c>
      <c r="C655" s="16" t="s">
        <v>2568</v>
      </c>
      <c r="D655" s="15" t="s">
        <v>2569</v>
      </c>
      <c r="E655" s="17" t="s">
        <v>1293</v>
      </c>
      <c r="F655" s="18" t="s">
        <v>2570</v>
      </c>
      <c r="G655" s="18"/>
      <c r="H655" s="18" t="s">
        <v>562</v>
      </c>
      <c r="I655" s="14" t="s">
        <v>1294</v>
      </c>
      <c r="J655" s="18"/>
      <c r="K655" s="18"/>
      <c r="M655" s="20" t="str">
        <f t="shared" si="10"/>
        <v>Sonchus gandogeri</v>
      </c>
    </row>
    <row r="656" spans="1:13" ht="15" customHeight="1" x14ac:dyDescent="0.2">
      <c r="A656" s="14" t="s">
        <v>695</v>
      </c>
      <c r="B656" s="15">
        <v>13821</v>
      </c>
      <c r="C656" s="16" t="s">
        <v>2571</v>
      </c>
      <c r="D656" s="15" t="s">
        <v>2572</v>
      </c>
      <c r="E656" s="17" t="s">
        <v>1293</v>
      </c>
      <c r="F656" s="18"/>
      <c r="G656" s="18" t="s">
        <v>1774</v>
      </c>
      <c r="H656" s="18" t="s">
        <v>547</v>
      </c>
      <c r="I656" s="14" t="s">
        <v>1294</v>
      </c>
      <c r="J656" s="18"/>
      <c r="K656" s="18"/>
      <c r="M656" s="20" t="str">
        <f t="shared" si="10"/>
        <v>Sphaerococcus rhizophylloides</v>
      </c>
    </row>
    <row r="657" spans="1:13" ht="15" customHeight="1" x14ac:dyDescent="0.2">
      <c r="A657" s="14" t="s">
        <v>695</v>
      </c>
      <c r="B657" s="15">
        <v>24060</v>
      </c>
      <c r="C657" s="16" t="s">
        <v>2573</v>
      </c>
      <c r="D657" s="14" t="s">
        <v>2574</v>
      </c>
      <c r="E657" s="17" t="s">
        <v>1293</v>
      </c>
      <c r="F657" s="18"/>
      <c r="G657" s="18"/>
      <c r="H657" s="18" t="s">
        <v>547</v>
      </c>
      <c r="I657" s="14" t="s">
        <v>1294</v>
      </c>
      <c r="J657" s="18"/>
      <c r="K657" s="16"/>
      <c r="M657" s="20" t="str">
        <f t="shared" si="10"/>
        <v>Sphagnum pylaisii</v>
      </c>
    </row>
    <row r="658" spans="1:13" ht="15" customHeight="1" x14ac:dyDescent="0.2">
      <c r="A658" s="14" t="s">
        <v>695</v>
      </c>
      <c r="B658" s="15">
        <v>8606</v>
      </c>
      <c r="C658" s="16" t="s">
        <v>2575</v>
      </c>
      <c r="D658" s="15" t="s">
        <v>2576</v>
      </c>
      <c r="E658" s="17" t="s">
        <v>1293</v>
      </c>
      <c r="F658" s="18"/>
      <c r="G658" s="18"/>
      <c r="H658" s="18" t="s">
        <v>547</v>
      </c>
      <c r="I658" s="14" t="s">
        <v>1294</v>
      </c>
      <c r="J658" s="18"/>
      <c r="K658" s="18"/>
      <c r="M658" s="20" t="str">
        <f t="shared" si="10"/>
        <v>Spiranthes aestivalis</v>
      </c>
    </row>
    <row r="659" spans="1:13" ht="14.25" customHeight="1" x14ac:dyDescent="0.2">
      <c r="A659" s="14" t="s">
        <v>695</v>
      </c>
      <c r="B659" s="15">
        <v>26765</v>
      </c>
      <c r="C659" s="16" t="s">
        <v>2577</v>
      </c>
      <c r="D659" s="35" t="s">
        <v>2578</v>
      </c>
      <c r="E659" s="17" t="s">
        <v>1293</v>
      </c>
      <c r="F659" s="18" t="s">
        <v>2579</v>
      </c>
      <c r="G659" s="18"/>
      <c r="H659" s="18" t="s">
        <v>1300</v>
      </c>
      <c r="I659" s="14" t="s">
        <v>1294</v>
      </c>
      <c r="J659" s="18"/>
      <c r="K659" s="18"/>
      <c r="M659" s="20" t="str">
        <f t="shared" si="10"/>
        <v>Stemmacantha cynaroides</v>
      </c>
    </row>
    <row r="660" spans="1:13" ht="15" customHeight="1" x14ac:dyDescent="0.2">
      <c r="A660" s="14" t="s">
        <v>695</v>
      </c>
      <c r="B660" s="15">
        <v>1056</v>
      </c>
      <c r="C660" s="16" t="s">
        <v>2580</v>
      </c>
      <c r="D660" s="15" t="s">
        <v>2581</v>
      </c>
      <c r="E660" s="17" t="s">
        <v>1293</v>
      </c>
      <c r="F660" s="18" t="s">
        <v>2582</v>
      </c>
      <c r="G660" s="18"/>
      <c r="H660" s="18" t="s">
        <v>547</v>
      </c>
      <c r="I660" s="14" t="s">
        <v>1294</v>
      </c>
      <c r="J660" s="18"/>
      <c r="K660" s="18"/>
      <c r="M660" s="20" t="str">
        <f t="shared" si="10"/>
        <v>Sventenia bupleuroides</v>
      </c>
    </row>
    <row r="661" spans="1:13" ht="16.5" customHeight="1" x14ac:dyDescent="0.2">
      <c r="A661" s="14" t="s">
        <v>695</v>
      </c>
      <c r="B661" s="15">
        <v>1319</v>
      </c>
      <c r="C661" s="16" t="s">
        <v>2583</v>
      </c>
      <c r="D661" s="15" t="s">
        <v>2584</v>
      </c>
      <c r="E661" s="17" t="s">
        <v>1293</v>
      </c>
      <c r="F661" s="18" t="s">
        <v>2585</v>
      </c>
      <c r="G661" s="18"/>
      <c r="H661" s="18" t="s">
        <v>1300</v>
      </c>
      <c r="I661" s="14" t="s">
        <v>1294</v>
      </c>
      <c r="J661" s="18"/>
      <c r="K661" s="18"/>
      <c r="M661" s="20" t="str">
        <f t="shared" si="10"/>
        <v>Tanacetum oshanahanii</v>
      </c>
    </row>
    <row r="662" spans="1:13" ht="15" customHeight="1" x14ac:dyDescent="0.2">
      <c r="A662" s="14" t="s">
        <v>695</v>
      </c>
      <c r="B662" s="48">
        <v>1320</v>
      </c>
      <c r="C662" s="16" t="s">
        <v>2586</v>
      </c>
      <c r="D662" s="15" t="s">
        <v>2587</v>
      </c>
      <c r="E662" s="17" t="s">
        <v>1293</v>
      </c>
      <c r="F662" s="18" t="s">
        <v>2588</v>
      </c>
      <c r="G662" s="18"/>
      <c r="H662" s="18" t="s">
        <v>562</v>
      </c>
      <c r="I662" s="14" t="s">
        <v>1294</v>
      </c>
      <c r="J662" s="18"/>
      <c r="K662" s="18"/>
      <c r="M662" s="20" t="str">
        <f t="shared" si="10"/>
        <v>Tanacetum ptarmiciflorum</v>
      </c>
    </row>
    <row r="663" spans="1:13" s="25" customFormat="1" ht="15" customHeight="1" x14ac:dyDescent="0.2">
      <c r="A663" s="15" t="s">
        <v>695</v>
      </c>
      <c r="B663" s="15">
        <v>1042</v>
      </c>
      <c r="C663" s="21" t="s">
        <v>2589</v>
      </c>
      <c r="D663" s="22" t="s">
        <v>2590</v>
      </c>
      <c r="E663" s="23" t="s">
        <v>1293</v>
      </c>
      <c r="F663" s="24" t="s">
        <v>2591</v>
      </c>
      <c r="G663" s="24"/>
      <c r="H663" s="24" t="s">
        <v>1300</v>
      </c>
      <c r="I663" s="15" t="s">
        <v>1294</v>
      </c>
      <c r="J663" s="24"/>
      <c r="K663" s="24"/>
      <c r="M663" s="20" t="str">
        <f t="shared" si="10"/>
        <v>Teline nervosa</v>
      </c>
    </row>
    <row r="664" spans="1:13" ht="19.5" customHeight="1" x14ac:dyDescent="0.25">
      <c r="A664" s="14" t="s">
        <v>695</v>
      </c>
      <c r="B664" s="65">
        <v>1339</v>
      </c>
      <c r="C664" s="16" t="s">
        <v>2592</v>
      </c>
      <c r="D664" s="30" t="s">
        <v>2593</v>
      </c>
      <c r="E664" s="24" t="s">
        <v>1318</v>
      </c>
      <c r="F664" s="18" t="s">
        <v>2594</v>
      </c>
      <c r="G664" s="18"/>
      <c r="H664" s="18" t="s">
        <v>547</v>
      </c>
      <c r="I664" s="14" t="s">
        <v>1294</v>
      </c>
      <c r="J664" s="18"/>
      <c r="M664" s="20" t="str">
        <f t="shared" si="10"/>
        <v>Teline rosmarinifolia subsp. rosmarinifolia</v>
      </c>
    </row>
    <row r="665" spans="1:13" ht="18" customHeight="1" x14ac:dyDescent="0.25">
      <c r="A665" s="14" t="s">
        <v>695</v>
      </c>
      <c r="B665" s="15">
        <v>24289</v>
      </c>
      <c r="C665" s="16" t="s">
        <v>2595</v>
      </c>
      <c r="D665" s="14" t="s">
        <v>2596</v>
      </c>
      <c r="E665" s="24" t="s">
        <v>1318</v>
      </c>
      <c r="F665" s="18" t="s">
        <v>2597</v>
      </c>
      <c r="G665" s="18"/>
      <c r="H665" s="18" t="s">
        <v>1300</v>
      </c>
      <c r="I665" s="14" t="s">
        <v>1294</v>
      </c>
      <c r="J665" s="18"/>
      <c r="K665" s="14"/>
      <c r="M665" s="20" t="str">
        <f t="shared" si="10"/>
        <v>Teline rosmarinifolia subsp. eurifolia</v>
      </c>
    </row>
    <row r="666" spans="1:13" ht="15" customHeight="1" x14ac:dyDescent="0.2">
      <c r="A666" s="14" t="s">
        <v>695</v>
      </c>
      <c r="B666" s="15">
        <v>1038</v>
      </c>
      <c r="C666" s="16" t="s">
        <v>2598</v>
      </c>
      <c r="D666" s="14" t="s">
        <v>2599</v>
      </c>
      <c r="E666" s="17" t="s">
        <v>1293</v>
      </c>
      <c r="F666" s="18" t="s">
        <v>2600</v>
      </c>
      <c r="G666" s="18"/>
      <c r="H666" s="18" t="s">
        <v>1300</v>
      </c>
      <c r="I666" s="14" t="s">
        <v>1294</v>
      </c>
      <c r="J666" s="18"/>
      <c r="K666" s="18"/>
      <c r="M666" s="20" t="str">
        <f t="shared" si="10"/>
        <v>Teline salsoloides</v>
      </c>
    </row>
    <row r="667" spans="1:13" ht="15" customHeight="1" x14ac:dyDescent="0.2">
      <c r="A667" s="14" t="s">
        <v>695</v>
      </c>
      <c r="B667" s="15">
        <v>24290</v>
      </c>
      <c r="C667" s="16" t="s">
        <v>2601</v>
      </c>
      <c r="D667" s="14" t="s">
        <v>2602</v>
      </c>
      <c r="E667" s="17" t="s">
        <v>1293</v>
      </c>
      <c r="F667" s="18"/>
      <c r="G667" s="18" t="s">
        <v>1774</v>
      </c>
      <c r="H667" s="18" t="s">
        <v>547</v>
      </c>
      <c r="I667" s="14" t="s">
        <v>2059</v>
      </c>
      <c r="J667" s="18"/>
      <c r="K667" s="18"/>
      <c r="M667" s="20" t="str">
        <f t="shared" si="10"/>
        <v>Tenarea tortuosa</v>
      </c>
    </row>
    <row r="668" spans="1:13" ht="15" customHeight="1" x14ac:dyDescent="0.2">
      <c r="A668" s="14" t="s">
        <v>695</v>
      </c>
      <c r="B668" s="15">
        <v>8758</v>
      </c>
      <c r="C668" s="16" t="s">
        <v>2603</v>
      </c>
      <c r="D668" s="14" t="s">
        <v>2604</v>
      </c>
      <c r="E668" s="17" t="s">
        <v>1293</v>
      </c>
      <c r="F668" s="18"/>
      <c r="G668" s="18"/>
      <c r="H668" s="18" t="s">
        <v>547</v>
      </c>
      <c r="I668" s="14" t="s">
        <v>1294</v>
      </c>
      <c r="J668" s="18"/>
      <c r="K668" s="18"/>
      <c r="M668" s="20" t="str">
        <f t="shared" si="10"/>
        <v>Tetraclinis articulata</v>
      </c>
    </row>
    <row r="669" spans="1:13" ht="15" customHeight="1" x14ac:dyDescent="0.2">
      <c r="A669" s="14" t="s">
        <v>695</v>
      </c>
      <c r="B669" s="15">
        <v>8714</v>
      </c>
      <c r="C669" s="16" t="s">
        <v>1271</v>
      </c>
      <c r="D669" s="14" t="s">
        <v>2605</v>
      </c>
      <c r="E669" s="17" t="s">
        <v>1293</v>
      </c>
      <c r="F669" s="18"/>
      <c r="G669" s="18"/>
      <c r="H669" s="18" t="s">
        <v>547</v>
      </c>
      <c r="I669" s="14" t="s">
        <v>1294</v>
      </c>
      <c r="J669" s="18"/>
      <c r="K669" s="18"/>
      <c r="M669" s="20" t="str">
        <f t="shared" si="10"/>
        <v>Teucrium charidemi</v>
      </c>
    </row>
    <row r="670" spans="1:13" ht="15" customHeight="1" x14ac:dyDescent="0.2">
      <c r="A670" s="14" t="s">
        <v>695</v>
      </c>
      <c r="B670" s="15">
        <v>8811</v>
      </c>
      <c r="C670" s="16" t="s">
        <v>2606</v>
      </c>
      <c r="D670" s="14" t="s">
        <v>2607</v>
      </c>
      <c r="E670" s="17" t="s">
        <v>1293</v>
      </c>
      <c r="F670" s="18"/>
      <c r="G670" s="18"/>
      <c r="H670" s="18" t="s">
        <v>562</v>
      </c>
      <c r="I670" s="14" t="s">
        <v>1294</v>
      </c>
      <c r="J670" s="18"/>
      <c r="K670" s="18"/>
      <c r="M670" s="20" t="str">
        <f t="shared" si="10"/>
        <v>Teucrium lepicephalum</v>
      </c>
    </row>
    <row r="671" spans="1:13" ht="15" customHeight="1" x14ac:dyDescent="0.2">
      <c r="A671" s="14" t="s">
        <v>695</v>
      </c>
      <c r="B671" s="15">
        <v>8845</v>
      </c>
      <c r="C671" s="16" t="s">
        <v>1276</v>
      </c>
      <c r="D671" s="14" t="s">
        <v>2608</v>
      </c>
      <c r="E671" s="17" t="s">
        <v>1293</v>
      </c>
      <c r="F671" s="18"/>
      <c r="G671" s="18"/>
      <c r="H671" s="18" t="s">
        <v>547</v>
      </c>
      <c r="I671" s="14" t="s">
        <v>1294</v>
      </c>
      <c r="J671" s="18"/>
      <c r="K671" s="18"/>
      <c r="M671" s="20" t="str">
        <f t="shared" si="10"/>
        <v>Teucrium turredanum</v>
      </c>
    </row>
    <row r="672" spans="1:13" ht="15" customHeight="1" x14ac:dyDescent="0.2">
      <c r="A672" s="14" t="s">
        <v>695</v>
      </c>
      <c r="B672" s="15">
        <v>3169</v>
      </c>
      <c r="C672" s="16" t="s">
        <v>2609</v>
      </c>
      <c r="D672" s="15" t="s">
        <v>2610</v>
      </c>
      <c r="E672" s="17" t="s">
        <v>1293</v>
      </c>
      <c r="F672" s="18"/>
      <c r="G672" s="18"/>
      <c r="H672" s="18" t="s">
        <v>547</v>
      </c>
      <c r="I672" s="14" t="s">
        <v>1294</v>
      </c>
      <c r="J672" s="18"/>
      <c r="K672" s="18"/>
      <c r="M672" s="20" t="str">
        <f t="shared" si="10"/>
        <v>Thorella verticillatinundata</v>
      </c>
    </row>
    <row r="673" spans="1:13" ht="15" customHeight="1" x14ac:dyDescent="0.2">
      <c r="A673" s="14" t="s">
        <v>695</v>
      </c>
      <c r="B673" s="15">
        <v>8695</v>
      </c>
      <c r="C673" s="16" t="s">
        <v>2611</v>
      </c>
      <c r="D673" s="14" t="s">
        <v>2612</v>
      </c>
      <c r="E673" s="17" t="s">
        <v>1293</v>
      </c>
      <c r="F673" s="18" t="s">
        <v>2613</v>
      </c>
      <c r="G673" s="18"/>
      <c r="H673" s="18" t="s">
        <v>547</v>
      </c>
      <c r="I673" s="14" t="s">
        <v>1294</v>
      </c>
      <c r="J673" s="18"/>
      <c r="K673" s="18"/>
      <c r="M673" s="20" t="str">
        <f t="shared" si="10"/>
        <v>Thymelaea broteriana</v>
      </c>
    </row>
    <row r="674" spans="1:13" ht="15" customHeight="1" x14ac:dyDescent="0.2">
      <c r="A674" s="14" t="s">
        <v>695</v>
      </c>
      <c r="B674" s="15">
        <v>8876</v>
      </c>
      <c r="C674" s="16" t="s">
        <v>1279</v>
      </c>
      <c r="D674" s="14" t="s">
        <v>2614</v>
      </c>
      <c r="E674" s="17" t="s">
        <v>1293</v>
      </c>
      <c r="F674" s="18"/>
      <c r="G674" s="18"/>
      <c r="H674" s="18" t="s">
        <v>562</v>
      </c>
      <c r="I674" s="14" t="s">
        <v>1294</v>
      </c>
      <c r="J674" s="18"/>
      <c r="K674" s="18"/>
      <c r="M674" s="20" t="str">
        <f t="shared" si="10"/>
        <v>Thymelaea lythroides</v>
      </c>
    </row>
    <row r="675" spans="1:13" ht="15" customHeight="1" x14ac:dyDescent="0.2">
      <c r="A675" s="14" t="s">
        <v>695</v>
      </c>
      <c r="B675" s="15">
        <v>8895</v>
      </c>
      <c r="C675" s="16" t="s">
        <v>1277</v>
      </c>
      <c r="D675" s="14" t="s">
        <v>2615</v>
      </c>
      <c r="E675" s="17" t="s">
        <v>1293</v>
      </c>
      <c r="F675" s="18" t="s">
        <v>1278</v>
      </c>
      <c r="G675" s="18"/>
      <c r="H675" s="18" t="s">
        <v>1300</v>
      </c>
      <c r="I675" s="14" t="s">
        <v>1294</v>
      </c>
      <c r="J675" s="18"/>
      <c r="K675" s="18"/>
      <c r="M675" s="20" t="str">
        <f t="shared" si="10"/>
        <v>Thymus albicans</v>
      </c>
    </row>
    <row r="676" spans="1:13" ht="15" customHeight="1" x14ac:dyDescent="0.2">
      <c r="A676" s="14" t="s">
        <v>695</v>
      </c>
      <c r="B676" s="15">
        <v>8902</v>
      </c>
      <c r="C676" s="16" t="s">
        <v>1272</v>
      </c>
      <c r="D676" s="14" t="s">
        <v>2616</v>
      </c>
      <c r="E676" s="17" t="s">
        <v>1293</v>
      </c>
      <c r="F676" s="18"/>
      <c r="G676" s="18"/>
      <c r="H676" s="18" t="s">
        <v>547</v>
      </c>
      <c r="I676" s="14" t="s">
        <v>1294</v>
      </c>
      <c r="J676" s="18"/>
      <c r="K676" s="18"/>
      <c r="M676" s="20" t="str">
        <f t="shared" si="10"/>
        <v>Thymus carnosus</v>
      </c>
    </row>
    <row r="677" spans="1:13" s="25" customFormat="1" ht="15" customHeight="1" x14ac:dyDescent="0.2">
      <c r="A677" s="15" t="s">
        <v>695</v>
      </c>
      <c r="B677" s="15">
        <v>8925</v>
      </c>
      <c r="C677" s="21" t="s">
        <v>2617</v>
      </c>
      <c r="D677" s="15" t="s">
        <v>2618</v>
      </c>
      <c r="E677" s="23" t="s">
        <v>1293</v>
      </c>
      <c r="F677" s="24" t="s">
        <v>2619</v>
      </c>
      <c r="G677" s="24"/>
      <c r="H677" s="24" t="s">
        <v>547</v>
      </c>
      <c r="I677" s="15" t="s">
        <v>1294</v>
      </c>
      <c r="J677" s="24"/>
      <c r="K677" s="24"/>
      <c r="M677" s="20" t="str">
        <f t="shared" si="10"/>
        <v>Thymus loscosii</v>
      </c>
    </row>
    <row r="678" spans="1:13" s="25" customFormat="1" ht="16.5" customHeight="1" x14ac:dyDescent="0.2">
      <c r="A678" s="15" t="s">
        <v>695</v>
      </c>
      <c r="B678" s="15">
        <v>13337</v>
      </c>
      <c r="C678" s="21" t="s">
        <v>2620</v>
      </c>
      <c r="D678" s="15" t="s">
        <v>2621</v>
      </c>
      <c r="E678" s="23" t="s">
        <v>1293</v>
      </c>
      <c r="F678" s="24"/>
      <c r="G678" s="24" t="s">
        <v>1774</v>
      </c>
      <c r="H678" s="24" t="s">
        <v>547</v>
      </c>
      <c r="I678" s="15" t="s">
        <v>2059</v>
      </c>
      <c r="J678" s="24"/>
      <c r="K678" s="24"/>
      <c r="M678" s="20" t="str">
        <f t="shared" si="10"/>
        <v>Titanoderma ramosissimum</v>
      </c>
    </row>
    <row r="679" spans="1:13" s="25" customFormat="1" ht="30" customHeight="1" x14ac:dyDescent="0.25">
      <c r="A679" s="15" t="s">
        <v>695</v>
      </c>
      <c r="B679" s="15">
        <v>24293</v>
      </c>
      <c r="C679" s="21" t="s">
        <v>2622</v>
      </c>
      <c r="D679" s="26" t="s">
        <v>2623</v>
      </c>
      <c r="E679" s="24" t="s">
        <v>1293</v>
      </c>
      <c r="F679" s="24"/>
      <c r="G679" s="24" t="s">
        <v>1774</v>
      </c>
      <c r="H679" s="24" t="s">
        <v>547</v>
      </c>
      <c r="I679" s="15" t="s">
        <v>2059</v>
      </c>
      <c r="J679" s="24"/>
      <c r="K679" s="24"/>
      <c r="M679" s="20" t="str">
        <f t="shared" si="10"/>
        <v>Titanoderma trochanter</v>
      </c>
    </row>
    <row r="680" spans="1:13" s="25" customFormat="1" ht="15" customHeight="1" x14ac:dyDescent="0.2">
      <c r="A680" s="15" t="s">
        <v>695</v>
      </c>
      <c r="B680" s="15">
        <v>1048</v>
      </c>
      <c r="C680" s="21" t="s">
        <v>2624</v>
      </c>
      <c r="D680" s="15" t="s">
        <v>2625</v>
      </c>
      <c r="E680" s="23" t="s">
        <v>1293</v>
      </c>
      <c r="F680" s="24" t="s">
        <v>2626</v>
      </c>
      <c r="G680" s="24"/>
      <c r="H680" s="24" t="s">
        <v>1300</v>
      </c>
      <c r="I680" s="15" t="s">
        <v>1294</v>
      </c>
      <c r="J680" s="24"/>
      <c r="K680" s="24"/>
      <c r="M680" s="20" t="str">
        <f t="shared" si="10"/>
        <v>Tolpis glabrescens</v>
      </c>
    </row>
    <row r="681" spans="1:13" s="25" customFormat="1" ht="15" customHeight="1" x14ac:dyDescent="0.2">
      <c r="A681" s="15" t="s">
        <v>695</v>
      </c>
      <c r="B681" s="15">
        <v>9258</v>
      </c>
      <c r="C681" s="21" t="s">
        <v>2627</v>
      </c>
      <c r="D681" s="15" t="s">
        <v>2628</v>
      </c>
      <c r="E681" s="23" t="s">
        <v>1293</v>
      </c>
      <c r="F681" s="24" t="s">
        <v>2629</v>
      </c>
      <c r="G681" s="24"/>
      <c r="H681" s="24" t="s">
        <v>547</v>
      </c>
      <c r="I681" s="15" t="s">
        <v>1294</v>
      </c>
      <c r="J681" s="24"/>
      <c r="K681" s="24"/>
      <c r="M681" s="20" t="str">
        <f t="shared" si="10"/>
        <v>Trichomanes speciosum</v>
      </c>
    </row>
    <row r="682" spans="1:13" s="25" customFormat="1" ht="15" customHeight="1" x14ac:dyDescent="0.2">
      <c r="A682" s="15" t="s">
        <v>695</v>
      </c>
      <c r="B682" s="15">
        <v>9336</v>
      </c>
      <c r="C682" s="21" t="s">
        <v>2630</v>
      </c>
      <c r="D682" s="15" t="s">
        <v>2631</v>
      </c>
      <c r="E682" s="23" t="s">
        <v>1293</v>
      </c>
      <c r="F682" s="24"/>
      <c r="G682" s="24"/>
      <c r="H682" s="24" t="s">
        <v>547</v>
      </c>
      <c r="I682" s="15" t="s">
        <v>1294</v>
      </c>
      <c r="J682" s="24"/>
      <c r="K682" s="24"/>
      <c r="M682" s="20" t="str">
        <f t="shared" si="10"/>
        <v>Veronica micrantha</v>
      </c>
    </row>
    <row r="683" spans="1:13" s="25" customFormat="1" ht="15" customHeight="1" x14ac:dyDescent="0.2">
      <c r="A683" s="15" t="s">
        <v>695</v>
      </c>
      <c r="B683" s="15">
        <v>9158</v>
      </c>
      <c r="C683" s="21" t="s">
        <v>2632</v>
      </c>
      <c r="D683" s="22" t="s">
        <v>2633</v>
      </c>
      <c r="E683" s="23" t="s">
        <v>1293</v>
      </c>
      <c r="F683" s="24" t="s">
        <v>2634</v>
      </c>
      <c r="G683" s="24"/>
      <c r="H683" s="24" t="s">
        <v>562</v>
      </c>
      <c r="I683" s="15" t="s">
        <v>1294</v>
      </c>
      <c r="J683" s="24"/>
      <c r="K683" s="24"/>
      <c r="M683" s="20" t="str">
        <f t="shared" si="10"/>
        <v>Vicia bifoliolata</v>
      </c>
    </row>
    <row r="684" spans="1:13" s="25" customFormat="1" ht="12.75" customHeight="1" x14ac:dyDescent="0.2">
      <c r="A684" s="15" t="s">
        <v>695</v>
      </c>
      <c r="B684" s="15">
        <v>9390</v>
      </c>
      <c r="C684" s="21" t="s">
        <v>1280</v>
      </c>
      <c r="D684" s="15" t="s">
        <v>2635</v>
      </c>
      <c r="E684" s="23" t="s">
        <v>1293</v>
      </c>
      <c r="F684" s="24"/>
      <c r="G684" s="24"/>
      <c r="H684" s="24" t="s">
        <v>547</v>
      </c>
      <c r="I684" s="15" t="s">
        <v>1294</v>
      </c>
      <c r="J684" s="24"/>
      <c r="K684" s="24"/>
      <c r="M684" s="20" t="str">
        <f t="shared" si="10"/>
        <v>Viola cazorlensis</v>
      </c>
    </row>
    <row r="685" spans="1:13" s="25" customFormat="1" ht="15" customHeight="1" x14ac:dyDescent="0.2">
      <c r="A685" s="15" t="s">
        <v>695</v>
      </c>
      <c r="B685" s="15">
        <v>1509</v>
      </c>
      <c r="C685" s="21" t="s">
        <v>2636</v>
      </c>
      <c r="D685" s="15" t="s">
        <v>2637</v>
      </c>
      <c r="E685" s="23" t="s">
        <v>1293</v>
      </c>
      <c r="F685" s="24" t="s">
        <v>2638</v>
      </c>
      <c r="G685" s="24"/>
      <c r="H685" s="24" t="s">
        <v>547</v>
      </c>
      <c r="I685" s="15" t="s">
        <v>1682</v>
      </c>
      <c r="J685" s="24"/>
      <c r="K685" s="24"/>
      <c r="M685" s="20" t="str">
        <f t="shared" si="10"/>
        <v>Viola cheiranthifolia</v>
      </c>
    </row>
    <row r="686" spans="1:13" s="25" customFormat="1" ht="15" customHeight="1" x14ac:dyDescent="0.2">
      <c r="A686" s="15" t="s">
        <v>695</v>
      </c>
      <c r="B686" s="15">
        <v>9396</v>
      </c>
      <c r="C686" s="43" t="s">
        <v>2639</v>
      </c>
      <c r="D686" s="42" t="s">
        <v>2640</v>
      </c>
      <c r="E686" s="23" t="s">
        <v>1293</v>
      </c>
      <c r="F686" s="24"/>
      <c r="G686" s="24"/>
      <c r="H686" s="24" t="s">
        <v>547</v>
      </c>
      <c r="I686" s="15" t="s">
        <v>1294</v>
      </c>
      <c r="J686" s="24"/>
      <c r="K686" s="24"/>
      <c r="M686" s="20" t="str">
        <f t="shared" si="10"/>
        <v>Viola jaubertiana</v>
      </c>
    </row>
    <row r="687" spans="1:13" s="25" customFormat="1" ht="15" customHeight="1" x14ac:dyDescent="0.2">
      <c r="A687" s="15" t="s">
        <v>695</v>
      </c>
      <c r="B687" s="48">
        <v>80569</v>
      </c>
      <c r="C687" s="21" t="s">
        <v>1281</v>
      </c>
      <c r="D687" s="22" t="s">
        <v>2641</v>
      </c>
      <c r="E687" s="23" t="s">
        <v>1293</v>
      </c>
      <c r="F687" s="24"/>
      <c r="G687" s="24"/>
      <c r="H687" s="24" t="s">
        <v>562</v>
      </c>
      <c r="I687" s="15" t="s">
        <v>1294</v>
      </c>
      <c r="J687" s="24"/>
      <c r="K687" s="24"/>
      <c r="M687" s="20" t="str">
        <f t="shared" si="10"/>
        <v>Vulpia fontquerana</v>
      </c>
    </row>
    <row r="688" spans="1:13" ht="15.75" customHeight="1" x14ac:dyDescent="0.2">
      <c r="A688" s="15" t="s">
        <v>695</v>
      </c>
      <c r="B688" s="15">
        <v>9452</v>
      </c>
      <c r="C688" s="16" t="s">
        <v>2642</v>
      </c>
      <c r="D688" s="22" t="s">
        <v>2643</v>
      </c>
      <c r="E688" s="17" t="s">
        <v>1318</v>
      </c>
      <c r="F688" s="18"/>
      <c r="G688" s="18"/>
      <c r="H688" s="18" t="s">
        <v>1300</v>
      </c>
      <c r="I688" s="14" t="s">
        <v>1411</v>
      </c>
      <c r="J688" s="18"/>
      <c r="K688" s="18"/>
      <c r="M688" s="20" t="str">
        <f t="shared" si="10"/>
        <v>Woodsia pulchella</v>
      </c>
    </row>
    <row r="689" spans="1:13" ht="15" customHeight="1" x14ac:dyDescent="0.2">
      <c r="A689" s="14" t="s">
        <v>695</v>
      </c>
      <c r="B689" s="15">
        <v>9455</v>
      </c>
      <c r="C689" s="43" t="s">
        <v>2644</v>
      </c>
      <c r="D689" s="42" t="s">
        <v>2645</v>
      </c>
      <c r="E689" s="17" t="s">
        <v>1293</v>
      </c>
      <c r="F689" s="18" t="s">
        <v>2646</v>
      </c>
      <c r="G689" s="18"/>
      <c r="H689" s="18" t="s">
        <v>547</v>
      </c>
      <c r="I689" s="14" t="s">
        <v>1294</v>
      </c>
      <c r="J689" s="18"/>
      <c r="K689" s="18"/>
      <c r="M689" s="20" t="str">
        <f t="shared" si="10"/>
        <v>Woodwardia radicans</v>
      </c>
    </row>
    <row r="690" spans="1:13" ht="15" customHeight="1" x14ac:dyDescent="0.2">
      <c r="A690" s="14" t="s">
        <v>695</v>
      </c>
      <c r="B690" s="15">
        <v>9444</v>
      </c>
      <c r="C690" s="43" t="s">
        <v>1226</v>
      </c>
      <c r="D690" s="42" t="s">
        <v>2647</v>
      </c>
      <c r="E690" s="17" t="s">
        <v>1293</v>
      </c>
      <c r="F690" s="18"/>
      <c r="G690" s="18" t="s">
        <v>1774</v>
      </c>
      <c r="H690" s="18" t="s">
        <v>547</v>
      </c>
      <c r="I690" s="14" t="s">
        <v>1294</v>
      </c>
      <c r="J690" s="18"/>
      <c r="K690" s="18"/>
      <c r="M690" s="20" t="str">
        <f t="shared" si="10"/>
        <v>Zostera marina</v>
      </c>
    </row>
    <row r="691" spans="1:13" s="66" customFormat="1" ht="15.6" customHeight="1" x14ac:dyDescent="0.25">
      <c r="A691" s="66" t="s">
        <v>566</v>
      </c>
      <c r="B691" s="31">
        <v>12439</v>
      </c>
      <c r="C691" s="56" t="s">
        <v>2648</v>
      </c>
      <c r="D691" s="22" t="s">
        <v>2649</v>
      </c>
      <c r="E691" s="32" t="s">
        <v>1293</v>
      </c>
      <c r="F691" s="32" t="s">
        <v>2650</v>
      </c>
      <c r="H691" s="32" t="s">
        <v>547</v>
      </c>
      <c r="I691" s="62" t="s">
        <v>1483</v>
      </c>
      <c r="J691" s="67"/>
      <c r="M691" s="20" t="str">
        <f t="shared" si="10"/>
        <v>Agriades zullichi Hemming, 1933</v>
      </c>
    </row>
    <row r="692" spans="1:13" ht="15" customHeight="1" x14ac:dyDescent="0.2">
      <c r="A692" s="15" t="s">
        <v>566</v>
      </c>
      <c r="B692" s="15">
        <v>34208</v>
      </c>
      <c r="C692" s="21" t="s">
        <v>2651</v>
      </c>
      <c r="D692" s="68" t="s">
        <v>2652</v>
      </c>
      <c r="E692" s="17" t="s">
        <v>1293</v>
      </c>
      <c r="F692" s="24"/>
      <c r="G692" s="24" t="s">
        <v>1774</v>
      </c>
      <c r="H692" s="18" t="s">
        <v>547</v>
      </c>
      <c r="I692" s="15" t="s">
        <v>1294</v>
      </c>
      <c r="J692" s="24"/>
      <c r="K692" s="24"/>
      <c r="M692" s="20" t="str">
        <f t="shared" si="10"/>
        <v>Asbestopluma hypogea</v>
      </c>
    </row>
    <row r="693" spans="1:13" ht="15" customHeight="1" x14ac:dyDescent="0.2">
      <c r="A693" s="15" t="s">
        <v>566</v>
      </c>
      <c r="B693" s="15">
        <v>79300</v>
      </c>
      <c r="C693" s="21" t="s">
        <v>2653</v>
      </c>
      <c r="D693" s="42" t="s">
        <v>2654</v>
      </c>
      <c r="E693" s="17" t="s">
        <v>1293</v>
      </c>
      <c r="F693" s="24" t="s">
        <v>2655</v>
      </c>
      <c r="G693" s="24"/>
      <c r="H693" s="24" t="s">
        <v>562</v>
      </c>
      <c r="I693" s="15" t="s">
        <v>1294</v>
      </c>
      <c r="J693" s="24"/>
      <c r="K693" s="24"/>
      <c r="M693" s="20" t="str">
        <f t="shared" si="10"/>
        <v>Austropotamobius pallipes</v>
      </c>
    </row>
    <row r="694" spans="1:13" ht="15" customHeight="1" x14ac:dyDescent="0.2">
      <c r="A694" s="15" t="s">
        <v>566</v>
      </c>
      <c r="B694" s="15">
        <v>11715</v>
      </c>
      <c r="C694" s="21" t="s">
        <v>1032</v>
      </c>
      <c r="D694" s="42" t="s">
        <v>2656</v>
      </c>
      <c r="E694" s="17" t="s">
        <v>1293</v>
      </c>
      <c r="F694" s="14"/>
      <c r="G694" s="24"/>
      <c r="H694" s="18" t="s">
        <v>547</v>
      </c>
      <c r="I694" s="14" t="s">
        <v>1294</v>
      </c>
      <c r="J694" s="18"/>
      <c r="K694" s="30" t="s">
        <v>2657</v>
      </c>
      <c r="M694" s="20" t="str">
        <f t="shared" si="10"/>
        <v>Coenagrion mercuriale</v>
      </c>
    </row>
    <row r="695" spans="1:13" ht="15" customHeight="1" x14ac:dyDescent="0.2">
      <c r="A695" s="15" t="s">
        <v>566</v>
      </c>
      <c r="B695" s="15">
        <v>10904</v>
      </c>
      <c r="C695" s="21" t="s">
        <v>2658</v>
      </c>
      <c r="D695" s="42" t="s">
        <v>2659</v>
      </c>
      <c r="E695" s="17" t="s">
        <v>1293</v>
      </c>
      <c r="F695" s="24"/>
      <c r="G695" s="24"/>
      <c r="H695" s="24" t="s">
        <v>1300</v>
      </c>
      <c r="I695" s="14" t="s">
        <v>1294</v>
      </c>
      <c r="J695" s="18"/>
      <c r="K695" s="18"/>
      <c r="M695" s="20" t="str">
        <f t="shared" si="10"/>
        <v>Cucujus cinnaberinus</v>
      </c>
    </row>
    <row r="696" spans="1:13" ht="15" customHeight="1" x14ac:dyDescent="0.2">
      <c r="A696" s="15" t="s">
        <v>566</v>
      </c>
      <c r="B696" s="15">
        <v>22052</v>
      </c>
      <c r="C696" s="21" t="s">
        <v>1039</v>
      </c>
      <c r="D696" s="42" t="s">
        <v>2660</v>
      </c>
      <c r="E696" s="17" t="s">
        <v>1293</v>
      </c>
      <c r="F696" s="24"/>
      <c r="G696" s="24" t="s">
        <v>1774</v>
      </c>
      <c r="H696" s="18" t="s">
        <v>547</v>
      </c>
      <c r="I696" s="14" t="s">
        <v>1294</v>
      </c>
      <c r="J696" s="18"/>
      <c r="K696" s="18"/>
      <c r="M696" s="20" t="str">
        <f t="shared" si="10"/>
        <v>Cymbula nigra</v>
      </c>
    </row>
    <row r="697" spans="1:13" ht="16.5" customHeight="1" x14ac:dyDescent="0.2">
      <c r="A697" s="15" t="s">
        <v>566</v>
      </c>
      <c r="B697" s="15">
        <v>22785</v>
      </c>
      <c r="C697" s="21" t="s">
        <v>1040</v>
      </c>
      <c r="D697" s="42" t="s">
        <v>2661</v>
      </c>
      <c r="E697" s="17" t="s">
        <v>1293</v>
      </c>
      <c r="F697" s="24"/>
      <c r="G697" s="24"/>
      <c r="H697" s="24" t="s">
        <v>562</v>
      </c>
      <c r="I697" s="14" t="s">
        <v>1294</v>
      </c>
      <c r="J697" s="18"/>
      <c r="K697" s="18"/>
      <c r="M697" s="20" t="str">
        <f t="shared" si="10"/>
        <v>Dendropoma petraeum</v>
      </c>
    </row>
    <row r="698" spans="1:13" ht="15" customHeight="1" x14ac:dyDescent="0.2">
      <c r="A698" s="15" t="s">
        <v>566</v>
      </c>
      <c r="B698" s="69">
        <v>36629</v>
      </c>
      <c r="C698" s="21" t="s">
        <v>2662</v>
      </c>
      <c r="D698" s="43" t="s">
        <v>2663</v>
      </c>
      <c r="E698" s="17" t="s">
        <v>1293</v>
      </c>
      <c r="F698" s="24"/>
      <c r="G698" s="24"/>
      <c r="H698" s="18" t="s">
        <v>547</v>
      </c>
      <c r="I698" s="15" t="s">
        <v>1294</v>
      </c>
      <c r="J698" s="24"/>
      <c r="K698" s="24"/>
      <c r="M698" s="20" t="str">
        <f t="shared" si="10"/>
        <v>Dorysthenes (Opisognathus) forficatus</v>
      </c>
    </row>
    <row r="699" spans="1:13" ht="15" customHeight="1" x14ac:dyDescent="0.2">
      <c r="A699" s="15" t="s">
        <v>566</v>
      </c>
      <c r="B699" s="15">
        <v>12079</v>
      </c>
      <c r="C699" s="21" t="s">
        <v>2664</v>
      </c>
      <c r="D699" s="14" t="s">
        <v>2665</v>
      </c>
      <c r="E699" s="17" t="s">
        <v>1293</v>
      </c>
      <c r="F699" s="14"/>
      <c r="G699" s="24"/>
      <c r="H699" s="18" t="s">
        <v>547</v>
      </c>
      <c r="I699" s="14" t="s">
        <v>1294</v>
      </c>
      <c r="J699" s="18"/>
      <c r="K699" s="30" t="s">
        <v>2666</v>
      </c>
      <c r="M699" s="20" t="str">
        <f t="shared" si="10"/>
        <v>Elona quimperiana</v>
      </c>
    </row>
    <row r="700" spans="1:13" ht="15" customHeight="1" x14ac:dyDescent="0.2">
      <c r="A700" s="15" t="s">
        <v>566</v>
      </c>
      <c r="B700" s="15">
        <v>10990</v>
      </c>
      <c r="C700" s="21" t="s">
        <v>2667</v>
      </c>
      <c r="D700" s="14" t="s">
        <v>2668</v>
      </c>
      <c r="E700" s="17" t="s">
        <v>1293</v>
      </c>
      <c r="F700" s="24"/>
      <c r="G700" s="24"/>
      <c r="H700" s="18" t="s">
        <v>547</v>
      </c>
      <c r="I700" s="14" t="s">
        <v>1294</v>
      </c>
      <c r="J700" s="18"/>
      <c r="K700" s="18"/>
      <c r="M700" s="20" t="str">
        <f t="shared" si="10"/>
        <v>Eriogaster catax</v>
      </c>
    </row>
    <row r="701" spans="1:13" ht="15" customHeight="1" x14ac:dyDescent="0.2">
      <c r="A701" s="15" t="s">
        <v>566</v>
      </c>
      <c r="B701" s="15">
        <v>20480</v>
      </c>
      <c r="C701" s="21" t="s">
        <v>1056</v>
      </c>
      <c r="D701" s="14" t="s">
        <v>2669</v>
      </c>
      <c r="E701" s="17" t="s">
        <v>1293</v>
      </c>
      <c r="F701" s="24"/>
      <c r="G701" s="24" t="s">
        <v>1774</v>
      </c>
      <c r="H701" s="18" t="s">
        <v>547</v>
      </c>
      <c r="I701" s="14" t="s">
        <v>1294</v>
      </c>
      <c r="J701" s="18"/>
      <c r="K701" s="18"/>
      <c r="M701" s="20" t="str">
        <f t="shared" si="10"/>
        <v>Errina aspera</v>
      </c>
    </row>
    <row r="702" spans="1:13" ht="15" customHeight="1" x14ac:dyDescent="0.2">
      <c r="A702" s="15" t="s">
        <v>566</v>
      </c>
      <c r="B702" s="15">
        <v>10714</v>
      </c>
      <c r="C702" s="21" t="s">
        <v>1025</v>
      </c>
      <c r="D702" s="14" t="s">
        <v>2670</v>
      </c>
      <c r="E702" s="17" t="s">
        <v>1293</v>
      </c>
      <c r="F702" s="19"/>
      <c r="G702" s="24"/>
      <c r="H702" s="18" t="s">
        <v>547</v>
      </c>
      <c r="I702" s="14" t="s">
        <v>1294</v>
      </c>
      <c r="J702" s="18"/>
      <c r="K702" s="30" t="s">
        <v>2671</v>
      </c>
      <c r="M702" s="20" t="str">
        <f t="shared" si="10"/>
        <v>Euphydryas aurinia</v>
      </c>
    </row>
    <row r="703" spans="1:13" s="25" customFormat="1" ht="15" customHeight="1" x14ac:dyDescent="0.25">
      <c r="A703" s="15" t="s">
        <v>566</v>
      </c>
      <c r="B703" s="31">
        <v>65546</v>
      </c>
      <c r="C703" s="28" t="s">
        <v>2672</v>
      </c>
      <c r="D703" s="56" t="s">
        <v>2673</v>
      </c>
      <c r="E703" s="63" t="s">
        <v>1293</v>
      </c>
      <c r="F703" s="32" t="s">
        <v>2674</v>
      </c>
      <c r="G703" s="32"/>
      <c r="H703" s="32" t="s">
        <v>1300</v>
      </c>
      <c r="I703" s="15" t="s">
        <v>1483</v>
      </c>
      <c r="J703" s="24"/>
      <c r="K703" s="30"/>
      <c r="M703" s="20" t="str">
        <f t="shared" si="10"/>
        <v>Gegenes pumilio (Hoffmannsegg, 1804)</v>
      </c>
    </row>
    <row r="704" spans="1:13" ht="15" customHeight="1" x14ac:dyDescent="0.2">
      <c r="A704" s="15" t="s">
        <v>566</v>
      </c>
      <c r="B704" s="15">
        <v>24241</v>
      </c>
      <c r="C704" s="21" t="s">
        <v>1059</v>
      </c>
      <c r="D704" s="14" t="s">
        <v>2675</v>
      </c>
      <c r="E704" s="17" t="s">
        <v>1293</v>
      </c>
      <c r="F704" s="24"/>
      <c r="G704" s="24" t="s">
        <v>1774</v>
      </c>
      <c r="H704" s="18" t="s">
        <v>547</v>
      </c>
      <c r="I704" s="14" t="s">
        <v>1294</v>
      </c>
      <c r="J704" s="18"/>
      <c r="K704" s="18"/>
      <c r="M704" s="20" t="str">
        <f t="shared" si="10"/>
        <v>Geodia cydonium</v>
      </c>
    </row>
    <row r="705" spans="1:13" ht="15" customHeight="1" x14ac:dyDescent="0.2">
      <c r="A705" s="15" t="s">
        <v>566</v>
      </c>
      <c r="B705" s="70">
        <v>36631</v>
      </c>
      <c r="C705" s="43" t="s">
        <v>2676</v>
      </c>
      <c r="D705" s="43" t="s">
        <v>2677</v>
      </c>
      <c r="E705" s="17" t="s">
        <v>1293</v>
      </c>
      <c r="F705" s="24"/>
      <c r="G705" s="24" t="s">
        <v>1774</v>
      </c>
      <c r="H705" s="18" t="s">
        <v>547</v>
      </c>
      <c r="I705" s="15" t="s">
        <v>2059</v>
      </c>
      <c r="J705" s="24"/>
      <c r="K705" s="24"/>
      <c r="M705" s="20" t="str">
        <f t="shared" si="10"/>
        <v>Gibbula nivosa</v>
      </c>
    </row>
    <row r="706" spans="1:13" ht="15" customHeight="1" x14ac:dyDescent="0.2">
      <c r="A706" s="15" t="s">
        <v>566</v>
      </c>
      <c r="B706" s="15">
        <v>11008</v>
      </c>
      <c r="C706" s="21" t="s">
        <v>2678</v>
      </c>
      <c r="D706" s="15" t="s">
        <v>2679</v>
      </c>
      <c r="E706" s="17" t="s">
        <v>1293</v>
      </c>
      <c r="F706" s="14"/>
      <c r="G706" s="24"/>
      <c r="H706" s="18" t="s">
        <v>547</v>
      </c>
      <c r="I706" s="15" t="s">
        <v>1294</v>
      </c>
      <c r="J706" s="24"/>
      <c r="K706" s="30" t="s">
        <v>2680</v>
      </c>
      <c r="M706" s="20" t="str">
        <f t="shared" si="10"/>
        <v>Lopinga achine</v>
      </c>
    </row>
    <row r="707" spans="1:13" ht="15" customHeight="1" x14ac:dyDescent="0.2">
      <c r="A707" s="15" t="s">
        <v>566</v>
      </c>
      <c r="B707" s="15">
        <v>11002</v>
      </c>
      <c r="C707" s="21" t="s">
        <v>2681</v>
      </c>
      <c r="D707" s="15" t="s">
        <v>2682</v>
      </c>
      <c r="E707" s="17" t="s">
        <v>1293</v>
      </c>
      <c r="F707" s="14"/>
      <c r="G707" s="24"/>
      <c r="H707" s="18" t="s">
        <v>547</v>
      </c>
      <c r="I707" s="15" t="s">
        <v>1294</v>
      </c>
      <c r="J707" s="24"/>
      <c r="K707" s="30" t="s">
        <v>2683</v>
      </c>
      <c r="M707" s="20" t="str">
        <f t="shared" ref="M707:M770" si="11">TRIM(C707)</f>
        <v>Lucanus cervus</v>
      </c>
    </row>
    <row r="708" spans="1:13" ht="15" customHeight="1" x14ac:dyDescent="0.2">
      <c r="A708" s="15" t="s">
        <v>566</v>
      </c>
      <c r="B708" s="15">
        <v>34207</v>
      </c>
      <c r="C708" s="21" t="s">
        <v>1043</v>
      </c>
      <c r="D708" s="26" t="s">
        <v>2684</v>
      </c>
      <c r="E708" s="17" t="s">
        <v>1293</v>
      </c>
      <c r="F708" s="24"/>
      <c r="G708" s="24" t="s">
        <v>1774</v>
      </c>
      <c r="H708" s="18" t="s">
        <v>547</v>
      </c>
      <c r="I708" s="14" t="s">
        <v>1294</v>
      </c>
      <c r="J708" s="18"/>
      <c r="K708" s="18"/>
      <c r="M708" s="20" t="str">
        <f t="shared" si="11"/>
        <v>Mitra zonata</v>
      </c>
    </row>
    <row r="709" spans="1:13" ht="15" customHeight="1" x14ac:dyDescent="0.2">
      <c r="A709" s="15" t="s">
        <v>566</v>
      </c>
      <c r="B709" s="15">
        <v>24259</v>
      </c>
      <c r="C709" s="43" t="s">
        <v>2685</v>
      </c>
      <c r="D709" s="26" t="s">
        <v>2686</v>
      </c>
      <c r="E709" s="17" t="s">
        <v>1293</v>
      </c>
      <c r="F709" s="24"/>
      <c r="G709" s="24" t="s">
        <v>1774</v>
      </c>
      <c r="H709" s="18" t="s">
        <v>547</v>
      </c>
      <c r="I709" s="15" t="s">
        <v>2059</v>
      </c>
      <c r="J709" s="24"/>
      <c r="K709" s="24"/>
      <c r="M709" s="20" t="str">
        <f t="shared" si="11"/>
        <v>Ocypode cursor</v>
      </c>
    </row>
    <row r="710" spans="1:13" s="25" customFormat="1" ht="15" customHeight="1" x14ac:dyDescent="0.2">
      <c r="A710" s="15" t="s">
        <v>566</v>
      </c>
      <c r="B710" s="15">
        <v>24263</v>
      </c>
      <c r="C710" s="21" t="s">
        <v>2687</v>
      </c>
      <c r="D710" s="22" t="s">
        <v>2688</v>
      </c>
      <c r="E710" s="23" t="s">
        <v>1293</v>
      </c>
      <c r="F710" s="24" t="s">
        <v>1035</v>
      </c>
      <c r="G710" s="24"/>
      <c r="H710" s="24" t="s">
        <v>1300</v>
      </c>
      <c r="I710" s="15" t="s">
        <v>1294</v>
      </c>
      <c r="J710" s="24"/>
      <c r="K710" s="24"/>
      <c r="M710" s="20" t="str">
        <f t="shared" si="11"/>
        <v>Ophiogomphus cecilia</v>
      </c>
    </row>
    <row r="711" spans="1:13" ht="15" customHeight="1" x14ac:dyDescent="0.2">
      <c r="A711" s="15" t="s">
        <v>566</v>
      </c>
      <c r="B711" s="15">
        <v>24265</v>
      </c>
      <c r="C711" s="43" t="s">
        <v>2689</v>
      </c>
      <c r="D711" s="26" t="s">
        <v>2690</v>
      </c>
      <c r="E711" s="17" t="s">
        <v>1293</v>
      </c>
      <c r="F711" s="24"/>
      <c r="G711" s="24" t="s">
        <v>1774</v>
      </c>
      <c r="H711" s="18" t="s">
        <v>547</v>
      </c>
      <c r="I711" s="15" t="s">
        <v>2059</v>
      </c>
      <c r="J711" s="24"/>
      <c r="K711" s="24"/>
      <c r="M711" s="20" t="str">
        <f t="shared" si="11"/>
        <v>Pachylasma giganteum</v>
      </c>
    </row>
    <row r="712" spans="1:13" ht="15" customHeight="1" x14ac:dyDescent="0.2">
      <c r="A712" s="15" t="s">
        <v>566</v>
      </c>
      <c r="B712" s="15">
        <v>24267</v>
      </c>
      <c r="C712" s="43" t="s">
        <v>2691</v>
      </c>
      <c r="D712" s="26" t="s">
        <v>2692</v>
      </c>
      <c r="E712" s="17" t="s">
        <v>1293</v>
      </c>
      <c r="F712" s="24"/>
      <c r="G712" s="24" t="s">
        <v>1774</v>
      </c>
      <c r="H712" s="18" t="s">
        <v>547</v>
      </c>
      <c r="I712" s="15" t="s">
        <v>2059</v>
      </c>
      <c r="J712" s="24"/>
      <c r="K712" s="24"/>
      <c r="M712" s="20" t="str">
        <f t="shared" si="11"/>
        <v>Petrobiona massiliana</v>
      </c>
    </row>
    <row r="713" spans="1:13" ht="15" customHeight="1" x14ac:dyDescent="0.2">
      <c r="A713" s="15" t="s">
        <v>566</v>
      </c>
      <c r="B713" s="15">
        <v>10740</v>
      </c>
      <c r="C713" s="21" t="s">
        <v>1027</v>
      </c>
      <c r="D713" s="15" t="s">
        <v>2693</v>
      </c>
      <c r="E713" s="17" t="s">
        <v>1293</v>
      </c>
      <c r="F713" s="14"/>
      <c r="G713" s="24"/>
      <c r="H713" s="18" t="s">
        <v>547</v>
      </c>
      <c r="I713" s="15" t="s">
        <v>1294</v>
      </c>
      <c r="J713" s="24"/>
      <c r="K713" s="30" t="s">
        <v>2694</v>
      </c>
      <c r="M713" s="20" t="str">
        <f t="shared" si="11"/>
        <v>Parnassius apollo</v>
      </c>
    </row>
    <row r="714" spans="1:13" ht="15" customHeight="1" x14ac:dyDescent="0.2">
      <c r="A714" s="15" t="s">
        <v>566</v>
      </c>
      <c r="B714" s="15">
        <v>11759</v>
      </c>
      <c r="C714" s="21" t="s">
        <v>2695</v>
      </c>
      <c r="D714" s="15" t="s">
        <v>2696</v>
      </c>
      <c r="E714" s="17" t="s">
        <v>1293</v>
      </c>
      <c r="F714" s="14"/>
      <c r="G714" s="24"/>
      <c r="H714" s="18" t="s">
        <v>547</v>
      </c>
      <c r="I714" s="15" t="s">
        <v>1294</v>
      </c>
      <c r="J714" s="24"/>
      <c r="K714" s="30" t="s">
        <v>2697</v>
      </c>
      <c r="M714" s="20" t="str">
        <f t="shared" si="11"/>
        <v>Parnassius mnemosyne</v>
      </c>
    </row>
    <row r="715" spans="1:13" ht="15" customHeight="1" x14ac:dyDescent="0.2">
      <c r="A715" s="15" t="s">
        <v>566</v>
      </c>
      <c r="B715" s="15">
        <v>68797</v>
      </c>
      <c r="C715" s="21" t="s">
        <v>2698</v>
      </c>
      <c r="D715" s="21" t="s">
        <v>2699</v>
      </c>
      <c r="E715" s="17" t="s">
        <v>1293</v>
      </c>
      <c r="F715" s="24" t="s">
        <v>2700</v>
      </c>
      <c r="G715" s="24"/>
      <c r="H715" s="24" t="s">
        <v>1300</v>
      </c>
      <c r="I715" s="15" t="s">
        <v>1294</v>
      </c>
      <c r="J715" s="24"/>
      <c r="K715" s="24"/>
      <c r="M715" s="20" t="str">
        <f t="shared" si="11"/>
        <v>Rhopalomesites euphorbiae</v>
      </c>
    </row>
    <row r="716" spans="1:13" ht="15" customHeight="1" x14ac:dyDescent="0.2">
      <c r="A716" s="15" t="s">
        <v>566</v>
      </c>
      <c r="B716" s="15">
        <v>12350</v>
      </c>
      <c r="C716" s="49" t="s">
        <v>2701</v>
      </c>
      <c r="D716" s="42" t="s">
        <v>2702</v>
      </c>
      <c r="E716" s="17" t="s">
        <v>1293</v>
      </c>
      <c r="F716" s="71" t="s">
        <v>2703</v>
      </c>
      <c r="G716" s="18"/>
      <c r="H716" s="18" t="s">
        <v>562</v>
      </c>
      <c r="I716" s="15" t="s">
        <v>1411</v>
      </c>
      <c r="J716" s="24" t="s">
        <v>2121</v>
      </c>
      <c r="K716" s="30"/>
      <c r="M716" s="20" t="str">
        <f t="shared" si="11"/>
        <v>Unio tumidiformis</v>
      </c>
    </row>
    <row r="717" spans="1:13" ht="15" customHeight="1" x14ac:dyDescent="0.2">
      <c r="A717" s="14" t="s">
        <v>566</v>
      </c>
      <c r="B717" s="15">
        <v>11224</v>
      </c>
      <c r="C717" s="16" t="s">
        <v>2704</v>
      </c>
      <c r="D717" s="15" t="s">
        <v>2705</v>
      </c>
      <c r="E717" s="17" t="s">
        <v>1293</v>
      </c>
      <c r="F717" s="18" t="s">
        <v>2706</v>
      </c>
      <c r="G717" s="18"/>
      <c r="H717" s="18" t="s">
        <v>1300</v>
      </c>
      <c r="I717" s="14" t="s">
        <v>1294</v>
      </c>
      <c r="J717" s="18"/>
      <c r="K717" s="18"/>
      <c r="M717" s="20" t="str">
        <f t="shared" si="11"/>
        <v>Acrostira euphorbiae</v>
      </c>
    </row>
    <row r="718" spans="1:13" ht="15" customHeight="1" x14ac:dyDescent="0.2">
      <c r="A718" s="14" t="s">
        <v>566</v>
      </c>
      <c r="B718" s="15">
        <v>20276</v>
      </c>
      <c r="C718" s="16" t="s">
        <v>2707</v>
      </c>
      <c r="D718" s="14" t="s">
        <v>2708</v>
      </c>
      <c r="E718" s="17" t="s">
        <v>1293</v>
      </c>
      <c r="F718" s="18" t="s">
        <v>2709</v>
      </c>
      <c r="G718" s="18" t="s">
        <v>1774</v>
      </c>
      <c r="H718" s="18" t="s">
        <v>547</v>
      </c>
      <c r="I718" s="14" t="s">
        <v>1449</v>
      </c>
      <c r="J718" s="18"/>
      <c r="K718" s="14"/>
      <c r="M718" s="20" t="str">
        <f t="shared" si="11"/>
        <v>Antipathella subpinnata</v>
      </c>
    </row>
    <row r="719" spans="1:13" ht="12.75" customHeight="1" x14ac:dyDescent="0.2">
      <c r="A719" s="14" t="s">
        <v>566</v>
      </c>
      <c r="B719" s="15">
        <v>20266</v>
      </c>
      <c r="C719" s="16" t="s">
        <v>2710</v>
      </c>
      <c r="D719" s="14" t="s">
        <v>2711</v>
      </c>
      <c r="E719" s="17" t="s">
        <v>1293</v>
      </c>
      <c r="F719" s="18" t="s">
        <v>2712</v>
      </c>
      <c r="G719" s="18" t="s">
        <v>1774</v>
      </c>
      <c r="H719" s="18" t="s">
        <v>547</v>
      </c>
      <c r="I719" s="14" t="s">
        <v>1449</v>
      </c>
      <c r="J719" s="18"/>
      <c r="K719" s="14"/>
      <c r="M719" s="20" t="str">
        <f t="shared" si="11"/>
        <v>Antipathes dichotoma</v>
      </c>
    </row>
    <row r="720" spans="1:13" ht="15" customHeight="1" x14ac:dyDescent="0.2">
      <c r="A720" s="14" t="s">
        <v>566</v>
      </c>
      <c r="B720" s="15">
        <v>237523</v>
      </c>
      <c r="C720" s="64" t="s">
        <v>2713</v>
      </c>
      <c r="D720" s="39" t="s">
        <v>2714</v>
      </c>
      <c r="E720" s="17" t="s">
        <v>2058</v>
      </c>
      <c r="F720" s="18"/>
      <c r="G720" s="18" t="s">
        <v>1774</v>
      </c>
      <c r="H720" s="18" t="s">
        <v>547</v>
      </c>
      <c r="I720" s="14" t="s">
        <v>2059</v>
      </c>
      <c r="J720" s="18"/>
      <c r="K720" s="35"/>
      <c r="M720" s="20" t="str">
        <f t="shared" si="11"/>
        <v>(3) Aplysina sp.</v>
      </c>
    </row>
    <row r="721" spans="1:13" ht="12.75" customHeight="1" x14ac:dyDescent="0.2">
      <c r="A721" s="14" t="s">
        <v>566</v>
      </c>
      <c r="B721" s="15">
        <v>10742</v>
      </c>
      <c r="C721" s="16" t="s">
        <v>1031</v>
      </c>
      <c r="D721" s="15" t="s">
        <v>2715</v>
      </c>
      <c r="E721" s="17" t="s">
        <v>1293</v>
      </c>
      <c r="F721" s="18"/>
      <c r="G721" s="18"/>
      <c r="H721" s="18" t="s">
        <v>547</v>
      </c>
      <c r="I721" s="14" t="s">
        <v>1294</v>
      </c>
      <c r="J721" s="18"/>
      <c r="K721" s="18"/>
      <c r="M721" s="20" t="str">
        <f t="shared" si="11"/>
        <v>Apteromantis aptera</v>
      </c>
    </row>
    <row r="722" spans="1:13" ht="15" customHeight="1" x14ac:dyDescent="0.2">
      <c r="A722" s="14" t="s">
        <v>566</v>
      </c>
      <c r="B722" s="15">
        <v>20864</v>
      </c>
      <c r="C722" s="16" t="s">
        <v>2716</v>
      </c>
      <c r="D722" s="14" t="s">
        <v>2717</v>
      </c>
      <c r="E722" s="17" t="s">
        <v>1293</v>
      </c>
      <c r="F722" s="71" t="s">
        <v>1051</v>
      </c>
      <c r="G722" s="18"/>
      <c r="H722" s="18" t="s">
        <v>547</v>
      </c>
      <c r="I722" s="14" t="s">
        <v>1294</v>
      </c>
      <c r="J722" s="18"/>
      <c r="K722" s="18"/>
      <c r="M722" s="20" t="str">
        <f t="shared" si="11"/>
        <v>Asterina pancerii</v>
      </c>
    </row>
    <row r="723" spans="1:13" ht="12.75" customHeight="1" x14ac:dyDescent="0.2">
      <c r="A723" s="14" t="s">
        <v>566</v>
      </c>
      <c r="B723" s="15">
        <v>20350</v>
      </c>
      <c r="C723" s="16" t="s">
        <v>2718</v>
      </c>
      <c r="D723" s="14" t="s">
        <v>2719</v>
      </c>
      <c r="E723" s="17" t="s">
        <v>1293</v>
      </c>
      <c r="F723" s="18" t="s">
        <v>1055</v>
      </c>
      <c r="G723" s="72"/>
      <c r="H723" s="18" t="s">
        <v>562</v>
      </c>
      <c r="I723" s="14" t="s">
        <v>1294</v>
      </c>
      <c r="J723" s="18"/>
      <c r="K723" s="18"/>
      <c r="M723" s="20" t="str">
        <f t="shared" si="11"/>
        <v>Astroides calycularis</v>
      </c>
    </row>
    <row r="724" spans="1:13" ht="15" customHeight="1" x14ac:dyDescent="0.2">
      <c r="A724" s="14" t="s">
        <v>566</v>
      </c>
      <c r="B724" s="15">
        <v>24224</v>
      </c>
      <c r="C724" s="16" t="s">
        <v>2720</v>
      </c>
      <c r="D724" s="26" t="s">
        <v>2721</v>
      </c>
      <c r="E724" s="17" t="s">
        <v>1293</v>
      </c>
      <c r="F724" s="18"/>
      <c r="G724" s="18" t="s">
        <v>1774</v>
      </c>
      <c r="H724" s="18" t="s">
        <v>547</v>
      </c>
      <c r="I724" s="14" t="s">
        <v>1294</v>
      </c>
      <c r="J724" s="18"/>
      <c r="K724" s="18"/>
      <c r="M724" s="20" t="str">
        <f t="shared" si="11"/>
        <v>Axinella cannabina</v>
      </c>
    </row>
    <row r="725" spans="1:13" ht="15" customHeight="1" x14ac:dyDescent="0.2">
      <c r="A725" s="14" t="s">
        <v>566</v>
      </c>
      <c r="B725" s="15">
        <v>24225</v>
      </c>
      <c r="C725" s="16" t="s">
        <v>1058</v>
      </c>
      <c r="D725" s="42" t="s">
        <v>2722</v>
      </c>
      <c r="E725" s="17" t="s">
        <v>1293</v>
      </c>
      <c r="F725" s="14"/>
      <c r="G725" s="18" t="s">
        <v>1774</v>
      </c>
      <c r="H725" s="18" t="s">
        <v>547</v>
      </c>
      <c r="I725" s="14" t="s">
        <v>1294</v>
      </c>
      <c r="J725" s="18"/>
      <c r="K725" s="30" t="s">
        <v>2723</v>
      </c>
      <c r="M725" s="20" t="str">
        <f t="shared" si="11"/>
        <v>Axinella polypoides</v>
      </c>
    </row>
    <row r="726" spans="1:13" ht="17.25" customHeight="1" x14ac:dyDescent="0.2">
      <c r="A726" s="14" t="s">
        <v>566</v>
      </c>
      <c r="B726" s="15">
        <v>12373</v>
      </c>
      <c r="C726" s="21" t="s">
        <v>2724</v>
      </c>
      <c r="D726" s="42" t="s">
        <v>2725</v>
      </c>
      <c r="E726" s="17" t="s">
        <v>1293</v>
      </c>
      <c r="F726" s="24"/>
      <c r="G726" s="18"/>
      <c r="H726" s="18" t="s">
        <v>562</v>
      </c>
      <c r="I726" s="14" t="s">
        <v>1294</v>
      </c>
      <c r="J726" s="18"/>
      <c r="K726" s="35" t="s">
        <v>2726</v>
      </c>
      <c r="M726" s="20" t="str">
        <f t="shared" si="11"/>
        <v>Baetica ustulata</v>
      </c>
    </row>
    <row r="727" spans="1:13" ht="15" customHeight="1" x14ac:dyDescent="0.2">
      <c r="A727" s="14" t="s">
        <v>566</v>
      </c>
      <c r="B727" s="15">
        <v>12235</v>
      </c>
      <c r="C727" s="21" t="s">
        <v>2727</v>
      </c>
      <c r="D727" s="42" t="s">
        <v>2728</v>
      </c>
      <c r="E727" s="17" t="s">
        <v>1293</v>
      </c>
      <c r="F727" s="63"/>
      <c r="G727" s="18"/>
      <c r="H727" s="18" t="s">
        <v>562</v>
      </c>
      <c r="I727" s="14" t="s">
        <v>1294</v>
      </c>
      <c r="J727" s="18"/>
      <c r="K727" s="18"/>
      <c r="M727" s="20" t="str">
        <f t="shared" si="11"/>
        <v>Buprestis splendens</v>
      </c>
    </row>
    <row r="728" spans="1:13" ht="15" customHeight="1" x14ac:dyDescent="0.2">
      <c r="A728" s="14" t="s">
        <v>566</v>
      </c>
      <c r="B728" s="15">
        <v>20259</v>
      </c>
      <c r="C728" s="16" t="s">
        <v>2729</v>
      </c>
      <c r="D728" s="14" t="s">
        <v>2730</v>
      </c>
      <c r="E728" s="17" t="s">
        <v>1293</v>
      </c>
      <c r="F728" s="18" t="s">
        <v>2731</v>
      </c>
      <c r="G728" s="18" t="s">
        <v>1774</v>
      </c>
      <c r="H728" s="18" t="s">
        <v>547</v>
      </c>
      <c r="I728" s="14" t="s">
        <v>1449</v>
      </c>
      <c r="J728" s="18"/>
      <c r="K728" s="14"/>
      <c r="M728" s="20" t="str">
        <f t="shared" si="11"/>
        <v>Callogorgia verticillata</v>
      </c>
    </row>
    <row r="729" spans="1:13" ht="15" customHeight="1" x14ac:dyDescent="0.2">
      <c r="A729" s="14" t="s">
        <v>566</v>
      </c>
      <c r="B729" s="15">
        <v>24226</v>
      </c>
      <c r="C729" s="21" t="s">
        <v>2732</v>
      </c>
      <c r="D729" s="26" t="s">
        <v>2733</v>
      </c>
      <c r="E729" s="17" t="s">
        <v>1293</v>
      </c>
      <c r="F729" s="24"/>
      <c r="G729" s="18"/>
      <c r="H729" s="18" t="s">
        <v>562</v>
      </c>
      <c r="I729" s="14" t="s">
        <v>1294</v>
      </c>
      <c r="J729" s="18"/>
      <c r="K729" s="18"/>
      <c r="M729" s="20" t="str">
        <f t="shared" si="11"/>
        <v>Candelacypris aragonica</v>
      </c>
    </row>
    <row r="730" spans="1:13" ht="16.5" customHeight="1" x14ac:dyDescent="0.2">
      <c r="A730" s="14" t="s">
        <v>566</v>
      </c>
      <c r="B730" s="15">
        <v>24227</v>
      </c>
      <c r="C730" s="21" t="s">
        <v>2734</v>
      </c>
      <c r="D730" s="26" t="s">
        <v>2735</v>
      </c>
      <c r="E730" s="17" t="s">
        <v>1293</v>
      </c>
      <c r="F730" s="24"/>
      <c r="G730" s="18"/>
      <c r="H730" s="18" t="s">
        <v>562</v>
      </c>
      <c r="I730" s="14" t="s">
        <v>1294</v>
      </c>
      <c r="J730" s="18"/>
      <c r="K730" s="18"/>
      <c r="M730" s="20" t="str">
        <f t="shared" si="11"/>
        <v>Carabus (Mesocarabus) riffensis</v>
      </c>
    </row>
    <row r="731" spans="1:13" ht="15" customHeight="1" x14ac:dyDescent="0.2">
      <c r="A731" s="14" t="s">
        <v>566</v>
      </c>
      <c r="B731" s="15">
        <v>20931</v>
      </c>
      <c r="C731" s="21" t="s">
        <v>1052</v>
      </c>
      <c r="D731" s="42" t="s">
        <v>2736</v>
      </c>
      <c r="E731" s="17" t="s">
        <v>1293</v>
      </c>
      <c r="F731" s="14"/>
      <c r="G731" s="18"/>
      <c r="H731" s="18" t="s">
        <v>547</v>
      </c>
      <c r="I731" s="14" t="s">
        <v>1294</v>
      </c>
      <c r="J731" s="18"/>
      <c r="K731" s="30" t="s">
        <v>2737</v>
      </c>
      <c r="M731" s="20" t="str">
        <f t="shared" si="11"/>
        <v>Centrostephanus longispinus</v>
      </c>
    </row>
    <row r="732" spans="1:13" ht="15" customHeight="1" x14ac:dyDescent="0.2">
      <c r="A732" s="14" t="s">
        <v>566</v>
      </c>
      <c r="B732" s="15">
        <v>24319</v>
      </c>
      <c r="C732" s="21" t="s">
        <v>1024</v>
      </c>
      <c r="D732" s="42" t="s">
        <v>2738</v>
      </c>
      <c r="E732" s="17" t="s">
        <v>1293</v>
      </c>
      <c r="F732" s="19"/>
      <c r="G732" s="18"/>
      <c r="H732" s="18" t="s">
        <v>547</v>
      </c>
      <c r="I732" s="14" t="s">
        <v>1294</v>
      </c>
      <c r="J732" s="18"/>
      <c r="K732" s="30" t="s">
        <v>2739</v>
      </c>
      <c r="M732" s="20" t="str">
        <f t="shared" si="11"/>
        <v>Cerambyx cerdo</v>
      </c>
    </row>
    <row r="733" spans="1:13" ht="15" customHeight="1" x14ac:dyDescent="0.2">
      <c r="A733" s="14" t="s">
        <v>566</v>
      </c>
      <c r="B733" s="15">
        <v>22589</v>
      </c>
      <c r="C733" s="21" t="s">
        <v>2740</v>
      </c>
      <c r="D733" s="42" t="s">
        <v>2741</v>
      </c>
      <c r="E733" s="17" t="s">
        <v>1293</v>
      </c>
      <c r="F733" s="24" t="s">
        <v>1037</v>
      </c>
      <c r="G733" s="18"/>
      <c r="H733" s="18" t="s">
        <v>562</v>
      </c>
      <c r="I733" s="14" t="s">
        <v>1294</v>
      </c>
      <c r="J733" s="18"/>
      <c r="K733" s="18"/>
      <c r="M733" s="20" t="str">
        <f t="shared" si="11"/>
        <v>Charonia lampas lampas</v>
      </c>
    </row>
    <row r="734" spans="1:13" ht="15" customHeight="1" x14ac:dyDescent="0.2">
      <c r="A734" s="14" t="s">
        <v>566</v>
      </c>
      <c r="B734" s="15">
        <v>22590</v>
      </c>
      <c r="C734" s="21" t="s">
        <v>2742</v>
      </c>
      <c r="D734" s="42" t="s">
        <v>2743</v>
      </c>
      <c r="E734" s="17" t="s">
        <v>1293</v>
      </c>
      <c r="F734" s="24" t="s">
        <v>1038</v>
      </c>
      <c r="G734" s="18" t="s">
        <v>1774</v>
      </c>
      <c r="H734" s="18" t="s">
        <v>547</v>
      </c>
      <c r="I734" s="14" t="s">
        <v>1294</v>
      </c>
      <c r="J734" s="18"/>
      <c r="K734" s="18"/>
      <c r="M734" s="20" t="str">
        <f t="shared" si="11"/>
        <v>Charonia tritonis variegata</v>
      </c>
    </row>
    <row r="735" spans="1:13" ht="15" customHeight="1" x14ac:dyDescent="0.2">
      <c r="A735" s="14" t="s">
        <v>566</v>
      </c>
      <c r="B735" s="15">
        <v>24231</v>
      </c>
      <c r="C735" s="21" t="s">
        <v>2744</v>
      </c>
      <c r="D735" s="26" t="s">
        <v>2745</v>
      </c>
      <c r="E735" s="17" t="s">
        <v>1293</v>
      </c>
      <c r="F735" s="24"/>
      <c r="G735" s="18"/>
      <c r="H735" s="18" t="s">
        <v>562</v>
      </c>
      <c r="I735" s="14" t="s">
        <v>1294</v>
      </c>
      <c r="J735" s="18"/>
      <c r="K735" s="18"/>
      <c r="M735" s="20" t="str">
        <f t="shared" si="11"/>
        <v>Chasmatopterus zonatus</v>
      </c>
    </row>
    <row r="736" spans="1:13" ht="15" customHeight="1" x14ac:dyDescent="0.2">
      <c r="A736" s="14" t="s">
        <v>566</v>
      </c>
      <c r="B736" s="15">
        <v>20374</v>
      </c>
      <c r="C736" s="16" t="s">
        <v>2746</v>
      </c>
      <c r="D736" s="14" t="s">
        <v>2747</v>
      </c>
      <c r="E736" s="17" t="s">
        <v>1293</v>
      </c>
      <c r="F736" s="18" t="s">
        <v>2748</v>
      </c>
      <c r="G736" s="18"/>
      <c r="H736" s="18" t="s">
        <v>547</v>
      </c>
      <c r="I736" s="14" t="s">
        <v>1449</v>
      </c>
      <c r="J736" s="18"/>
      <c r="K736" s="14"/>
      <c r="M736" s="20" t="str">
        <f t="shared" si="11"/>
        <v>Cladocora caespitosa</v>
      </c>
    </row>
    <row r="737" spans="1:13" ht="15" customHeight="1" x14ac:dyDescent="0.2">
      <c r="A737" s="14" t="s">
        <v>566</v>
      </c>
      <c r="B737" s="15">
        <v>20375</v>
      </c>
      <c r="C737" s="16" t="s">
        <v>2749</v>
      </c>
      <c r="D737" s="15" t="s">
        <v>2750</v>
      </c>
      <c r="E737" s="17" t="s">
        <v>1293</v>
      </c>
      <c r="F737" s="18" t="s">
        <v>2751</v>
      </c>
      <c r="G737" s="18" t="s">
        <v>1774</v>
      </c>
      <c r="H737" s="18" t="s">
        <v>547</v>
      </c>
      <c r="I737" s="14" t="s">
        <v>1449</v>
      </c>
      <c r="J737" s="18"/>
      <c r="K737" s="14"/>
      <c r="M737" s="20" t="str">
        <f t="shared" si="11"/>
        <v>Cladocora debilis</v>
      </c>
    </row>
    <row r="738" spans="1:13" s="25" customFormat="1" ht="15" customHeight="1" x14ac:dyDescent="0.2">
      <c r="A738" s="15" t="s">
        <v>566</v>
      </c>
      <c r="B738" s="31">
        <v>20356</v>
      </c>
      <c r="C738" s="28" t="s">
        <v>2752</v>
      </c>
      <c r="D738" s="56" t="s">
        <v>2753</v>
      </c>
      <c r="E738" s="23" t="s">
        <v>1293</v>
      </c>
      <c r="F738" s="32" t="s">
        <v>2754</v>
      </c>
      <c r="G738" s="32" t="s">
        <v>1774</v>
      </c>
      <c r="H738" s="32" t="s">
        <v>547</v>
      </c>
      <c r="I738" s="15" t="s">
        <v>1483</v>
      </c>
      <c r="J738" s="24"/>
      <c r="K738" s="15"/>
      <c r="M738" s="20" t="str">
        <f t="shared" si="11"/>
        <v>Dendrophyllia cornigera (Lamarck, 1816)</v>
      </c>
    </row>
    <row r="739" spans="1:13" s="25" customFormat="1" ht="15" customHeight="1" x14ac:dyDescent="0.2">
      <c r="A739" s="15" t="s">
        <v>566</v>
      </c>
      <c r="B739" s="31">
        <v>20358</v>
      </c>
      <c r="C739" s="28" t="s">
        <v>2755</v>
      </c>
      <c r="D739" s="28" t="s">
        <v>2756</v>
      </c>
      <c r="E739" s="23" t="s">
        <v>1293</v>
      </c>
      <c r="F739" s="32" t="s">
        <v>2757</v>
      </c>
      <c r="G739" s="32" t="s">
        <v>1774</v>
      </c>
      <c r="H739" s="32" t="s">
        <v>547</v>
      </c>
      <c r="I739" s="15" t="s">
        <v>1483</v>
      </c>
      <c r="J739" s="24"/>
      <c r="K739" s="15"/>
      <c r="M739" s="20" t="str">
        <f t="shared" si="11"/>
        <v>Dendrophyllia ramea(Linnaeus, 1758)</v>
      </c>
    </row>
    <row r="740" spans="1:13" s="25" customFormat="1" ht="15" customHeight="1" x14ac:dyDescent="0.2">
      <c r="A740" s="15" t="s">
        <v>566</v>
      </c>
      <c r="B740" s="31">
        <v>27476</v>
      </c>
      <c r="C740" s="28" t="s">
        <v>2758</v>
      </c>
      <c r="D740" s="28" t="s">
        <v>2759</v>
      </c>
      <c r="E740" s="23" t="s">
        <v>1293</v>
      </c>
      <c r="F740" s="32" t="s">
        <v>2760</v>
      </c>
      <c r="G740" s="32" t="s">
        <v>1774</v>
      </c>
      <c r="H740" s="32" t="s">
        <v>547</v>
      </c>
      <c r="I740" s="15" t="s">
        <v>1483</v>
      </c>
      <c r="J740" s="24"/>
      <c r="K740" s="15"/>
      <c r="M740" s="20" t="str">
        <f t="shared" si="11"/>
        <v>Desmophyllum dianthus (Esper, 1794)</v>
      </c>
    </row>
    <row r="741" spans="1:13" ht="15" customHeight="1" x14ac:dyDescent="0.2">
      <c r="A741" s="14" t="s">
        <v>566</v>
      </c>
      <c r="B741" s="15">
        <v>20219</v>
      </c>
      <c r="C741" s="16" t="s">
        <v>2761</v>
      </c>
      <c r="D741" s="15" t="s">
        <v>2762</v>
      </c>
      <c r="E741" s="17" t="s">
        <v>1293</v>
      </c>
      <c r="F741" s="18" t="s">
        <v>2763</v>
      </c>
      <c r="G741" s="18" t="s">
        <v>1774</v>
      </c>
      <c r="H741" s="18" t="s">
        <v>547</v>
      </c>
      <c r="I741" s="14" t="s">
        <v>1449</v>
      </c>
      <c r="J741" s="18"/>
      <c r="K741" s="14"/>
      <c r="M741" s="20" t="str">
        <f t="shared" si="11"/>
        <v>Ellisella paraplexauroides</v>
      </c>
    </row>
    <row r="742" spans="1:13" ht="15" customHeight="1" x14ac:dyDescent="0.2">
      <c r="A742" s="14" t="s">
        <v>566</v>
      </c>
      <c r="B742" s="15">
        <v>33102</v>
      </c>
      <c r="C742" s="16" t="s">
        <v>1041</v>
      </c>
      <c r="D742" s="42" t="s">
        <v>2764</v>
      </c>
      <c r="E742" s="17" t="s">
        <v>1293</v>
      </c>
      <c r="F742" s="18"/>
      <c r="G742" s="18" t="s">
        <v>1774</v>
      </c>
      <c r="H742" s="18" t="s">
        <v>547</v>
      </c>
      <c r="I742" s="14" t="s">
        <v>1294</v>
      </c>
      <c r="J742" s="18"/>
      <c r="K742" s="18"/>
      <c r="M742" s="20" t="str">
        <f t="shared" si="11"/>
        <v>Erosaria spurca</v>
      </c>
    </row>
    <row r="743" spans="1:13" ht="15" customHeight="1" x14ac:dyDescent="0.2">
      <c r="A743" s="14" t="s">
        <v>566</v>
      </c>
      <c r="B743" s="15">
        <v>32345</v>
      </c>
      <c r="C743" s="16" t="s">
        <v>2765</v>
      </c>
      <c r="D743" s="15" t="s">
        <v>2766</v>
      </c>
      <c r="E743" s="17" t="s">
        <v>1293</v>
      </c>
      <c r="F743" s="18" t="s">
        <v>2767</v>
      </c>
      <c r="G743" s="18"/>
      <c r="H743" s="18" t="s">
        <v>1300</v>
      </c>
      <c r="I743" s="14" t="s">
        <v>1449</v>
      </c>
      <c r="J743" s="18"/>
      <c r="K743" s="14"/>
      <c r="M743" s="20" t="str">
        <f t="shared" si="11"/>
        <v>Euchloe bazae</v>
      </c>
    </row>
    <row r="744" spans="1:13" ht="15" customHeight="1" x14ac:dyDescent="0.2">
      <c r="A744" s="14" t="s">
        <v>566</v>
      </c>
      <c r="B744" s="15">
        <v>11644</v>
      </c>
      <c r="C744" s="21" t="s">
        <v>2768</v>
      </c>
      <c r="D744" s="14" t="s">
        <v>2769</v>
      </c>
      <c r="E744" s="17" t="s">
        <v>1293</v>
      </c>
      <c r="F744" s="18"/>
      <c r="G744" s="18"/>
      <c r="H744" s="18" t="s">
        <v>547</v>
      </c>
      <c r="I744" s="14" t="s">
        <v>1294</v>
      </c>
      <c r="J744" s="18"/>
      <c r="K744" s="18"/>
      <c r="M744" s="20" t="str">
        <f t="shared" si="11"/>
        <v>Geomalacus maculosus</v>
      </c>
    </row>
    <row r="745" spans="1:13" ht="15" customHeight="1" x14ac:dyDescent="0.2">
      <c r="A745" s="14" t="s">
        <v>566</v>
      </c>
      <c r="B745" s="15">
        <v>11398</v>
      </c>
      <c r="C745" s="21" t="s">
        <v>1033</v>
      </c>
      <c r="D745" s="14" t="s">
        <v>2770</v>
      </c>
      <c r="E745" s="17" t="s">
        <v>1293</v>
      </c>
      <c r="F745" s="18"/>
      <c r="G745" s="18"/>
      <c r="H745" s="18" t="s">
        <v>547</v>
      </c>
      <c r="I745" s="14" t="s">
        <v>1294</v>
      </c>
      <c r="J745" s="18"/>
      <c r="K745" s="18"/>
      <c r="M745" s="20" t="str">
        <f t="shared" si="11"/>
        <v>Gomphus graslinii</v>
      </c>
    </row>
    <row r="746" spans="1:13" ht="15" customHeight="1" x14ac:dyDescent="0.2">
      <c r="A746" s="14" t="s">
        <v>566</v>
      </c>
      <c r="B746" s="15">
        <v>33010</v>
      </c>
      <c r="C746" s="16" t="s">
        <v>1026</v>
      </c>
      <c r="D746" s="15" t="s">
        <v>2771</v>
      </c>
      <c r="E746" s="17" t="s">
        <v>1293</v>
      </c>
      <c r="F746" s="14"/>
      <c r="G746" s="18"/>
      <c r="H746" s="18" t="s">
        <v>547</v>
      </c>
      <c r="I746" s="14" t="s">
        <v>1294</v>
      </c>
      <c r="J746" s="18"/>
      <c r="K746" s="30" t="s">
        <v>2772</v>
      </c>
      <c r="M746" s="20" t="str">
        <f t="shared" si="11"/>
        <v>Graellsia isabelae</v>
      </c>
    </row>
    <row r="747" spans="1:13" s="25" customFormat="1" ht="15" customHeight="1" x14ac:dyDescent="0.2">
      <c r="A747" s="15" t="s">
        <v>566</v>
      </c>
      <c r="B747" s="15">
        <v>24243</v>
      </c>
      <c r="C747" s="21" t="s">
        <v>2773</v>
      </c>
      <c r="D747" s="15" t="s">
        <v>2774</v>
      </c>
      <c r="E747" s="23" t="s">
        <v>1293</v>
      </c>
      <c r="F747" s="24" t="s">
        <v>2775</v>
      </c>
      <c r="G747" s="24"/>
      <c r="H747" s="24" t="s">
        <v>2776</v>
      </c>
      <c r="I747" s="15" t="s">
        <v>1483</v>
      </c>
      <c r="J747" s="24" t="s">
        <v>2291</v>
      </c>
      <c r="K747" s="24"/>
      <c r="M747" s="20" t="str">
        <f t="shared" si="11"/>
        <v>Halophiloscia canariensis</v>
      </c>
    </row>
    <row r="748" spans="1:13" ht="15" customHeight="1" x14ac:dyDescent="0.2">
      <c r="A748" s="14" t="s">
        <v>566</v>
      </c>
      <c r="B748" s="15">
        <v>14608</v>
      </c>
      <c r="C748" s="16" t="s">
        <v>2777</v>
      </c>
      <c r="D748" s="14" t="s">
        <v>2778</v>
      </c>
      <c r="E748" s="17" t="s">
        <v>1293</v>
      </c>
      <c r="G748" s="18" t="s">
        <v>1774</v>
      </c>
      <c r="H748" s="18" t="s">
        <v>547</v>
      </c>
      <c r="I748" s="14" t="s">
        <v>1294</v>
      </c>
      <c r="J748" s="18"/>
      <c r="K748" s="18"/>
      <c r="M748" s="20" t="str">
        <f t="shared" si="11"/>
        <v>Hornera lichenoides</v>
      </c>
    </row>
    <row r="749" spans="1:13" ht="15" customHeight="1" x14ac:dyDescent="0.2">
      <c r="A749" s="14" t="s">
        <v>566</v>
      </c>
      <c r="B749" s="15">
        <v>11450</v>
      </c>
      <c r="C749" s="16" t="s">
        <v>2779</v>
      </c>
      <c r="D749" s="73" t="s">
        <v>2780</v>
      </c>
      <c r="E749" s="17" t="s">
        <v>1293</v>
      </c>
      <c r="F749" s="18"/>
      <c r="G749" s="18"/>
      <c r="H749" s="18" t="s">
        <v>547</v>
      </c>
      <c r="I749" s="14" t="s">
        <v>1294</v>
      </c>
      <c r="J749" s="18"/>
      <c r="K749" s="18"/>
      <c r="M749" s="20" t="str">
        <f t="shared" si="11"/>
        <v>Hyles hippophaes</v>
      </c>
    </row>
    <row r="750" spans="1:13" s="25" customFormat="1" ht="15" customHeight="1" x14ac:dyDescent="0.2">
      <c r="A750" s="15" t="s">
        <v>566</v>
      </c>
      <c r="B750" s="31">
        <v>20235</v>
      </c>
      <c r="C750" s="28" t="s">
        <v>2781</v>
      </c>
      <c r="D750" s="28" t="s">
        <v>2782</v>
      </c>
      <c r="E750" s="23" t="s">
        <v>1293</v>
      </c>
      <c r="F750" s="32" t="s">
        <v>2783</v>
      </c>
      <c r="G750" s="32" t="s">
        <v>1774</v>
      </c>
      <c r="H750" s="32" t="s">
        <v>547</v>
      </c>
      <c r="I750" s="15" t="s">
        <v>1483</v>
      </c>
      <c r="J750" s="24"/>
      <c r="K750" s="24"/>
      <c r="M750" s="20" t="str">
        <f t="shared" si="11"/>
        <v>Isidella elongata (Esper, 1794)</v>
      </c>
    </row>
    <row r="751" spans="1:13" ht="15" customHeight="1" x14ac:dyDescent="0.2">
      <c r="A751" s="14" t="s">
        <v>566</v>
      </c>
      <c r="B751" s="15">
        <v>20274</v>
      </c>
      <c r="C751" s="16" t="s">
        <v>2784</v>
      </c>
      <c r="D751" s="15" t="s">
        <v>2785</v>
      </c>
      <c r="E751" s="17" t="s">
        <v>1293</v>
      </c>
      <c r="F751" s="18" t="s">
        <v>2786</v>
      </c>
      <c r="G751" s="18" t="s">
        <v>1774</v>
      </c>
      <c r="H751" s="18" t="s">
        <v>547</v>
      </c>
      <c r="I751" s="14" t="s">
        <v>1449</v>
      </c>
      <c r="J751" s="18"/>
      <c r="K751" s="14"/>
      <c r="M751" s="20" t="str">
        <f t="shared" si="11"/>
        <v>Leiopathes glaberrima</v>
      </c>
    </row>
    <row r="752" spans="1:13" ht="15" customHeight="1" x14ac:dyDescent="0.2">
      <c r="A752" s="14" t="s">
        <v>566</v>
      </c>
      <c r="B752" s="15">
        <v>11950</v>
      </c>
      <c r="C752" s="16" t="s">
        <v>2787</v>
      </c>
      <c r="D752" s="14" t="s">
        <v>2788</v>
      </c>
      <c r="E752" s="17" t="s">
        <v>1293</v>
      </c>
      <c r="F752" s="18"/>
      <c r="G752" s="18"/>
      <c r="H752" s="18" t="s">
        <v>547</v>
      </c>
      <c r="I752" s="14" t="s">
        <v>1294</v>
      </c>
      <c r="J752" s="18"/>
      <c r="K752" s="18"/>
      <c r="M752" s="20" t="str">
        <f t="shared" si="11"/>
        <v>Leucorrhinia pectoralis</v>
      </c>
    </row>
    <row r="753" spans="1:13" ht="15" customHeight="1" x14ac:dyDescent="0.2">
      <c r="A753" s="14" t="s">
        <v>566</v>
      </c>
      <c r="B753" s="15">
        <v>12397</v>
      </c>
      <c r="C753" s="16" t="s">
        <v>2789</v>
      </c>
      <c r="D753" s="14" t="s">
        <v>2790</v>
      </c>
      <c r="E753" s="17" t="s">
        <v>1293</v>
      </c>
      <c r="F753" s="18" t="s">
        <v>2791</v>
      </c>
      <c r="G753" s="18"/>
      <c r="H753" s="18" t="s">
        <v>562</v>
      </c>
      <c r="I753" s="14" t="s">
        <v>1294</v>
      </c>
      <c r="J753" s="18"/>
      <c r="K753" s="18"/>
      <c r="M753" s="20" t="str">
        <f t="shared" si="11"/>
        <v>Limoniscus violaceus</v>
      </c>
    </row>
    <row r="754" spans="1:13" ht="15" customHeight="1" x14ac:dyDescent="0.2">
      <c r="A754" s="14" t="s">
        <v>566</v>
      </c>
      <c r="B754" s="15">
        <v>12311</v>
      </c>
      <c r="C754" s="16" t="s">
        <v>2792</v>
      </c>
      <c r="D754" s="14" t="s">
        <v>2793</v>
      </c>
      <c r="E754" s="17" t="s">
        <v>1293</v>
      </c>
      <c r="F754" s="18"/>
      <c r="G754" s="18"/>
      <c r="H754" s="18" t="s">
        <v>1300</v>
      </c>
      <c r="I754" s="14" t="s">
        <v>1294</v>
      </c>
      <c r="J754" s="18"/>
      <c r="K754" s="18"/>
      <c r="M754" s="20" t="str">
        <f t="shared" si="11"/>
        <v>Lindenia tetraphylla</v>
      </c>
    </row>
    <row r="755" spans="1:13" s="25" customFormat="1" ht="15" customHeight="1" x14ac:dyDescent="0.2">
      <c r="A755" s="15" t="s">
        <v>566</v>
      </c>
      <c r="B755" s="74">
        <v>80314</v>
      </c>
      <c r="C755" s="62" t="s">
        <v>2794</v>
      </c>
      <c r="D755" s="62" t="s">
        <v>2795</v>
      </c>
      <c r="E755" s="32" t="s">
        <v>1293</v>
      </c>
      <c r="F755" s="32" t="s">
        <v>2796</v>
      </c>
      <c r="G755" s="32"/>
      <c r="H755" s="32" t="s">
        <v>1300</v>
      </c>
      <c r="I755" s="15" t="s">
        <v>1483</v>
      </c>
      <c r="J755" s="32"/>
      <c r="K755" s="24"/>
      <c r="M755" s="20" t="str">
        <f t="shared" si="11"/>
        <v>Linderiella baetica Alonso y García-de-Lomas, 2009</v>
      </c>
    </row>
    <row r="756" spans="1:13" s="66" customFormat="1" ht="12.75" customHeight="1" x14ac:dyDescent="0.25">
      <c r="A756" s="31"/>
      <c r="B756" s="31">
        <v>21351</v>
      </c>
      <c r="C756" s="28" t="s">
        <v>1047</v>
      </c>
      <c r="D756" s="56" t="s">
        <v>2797</v>
      </c>
      <c r="E756" s="32" t="s">
        <v>1293</v>
      </c>
      <c r="F756" s="32" t="s">
        <v>1774</v>
      </c>
      <c r="H756" s="32" t="s">
        <v>547</v>
      </c>
      <c r="I756" s="30" t="s">
        <v>1294</v>
      </c>
      <c r="J756" s="22"/>
      <c r="K756" s="22"/>
      <c r="M756" s="20" t="str">
        <f t="shared" si="11"/>
        <v>Lithophaga lithophaga</v>
      </c>
    </row>
    <row r="757" spans="1:13" s="25" customFormat="1" ht="16.5" customHeight="1" x14ac:dyDescent="0.2">
      <c r="A757" s="15" t="s">
        <v>566</v>
      </c>
      <c r="B757" s="15">
        <v>34803</v>
      </c>
      <c r="C757" s="21" t="s">
        <v>2798</v>
      </c>
      <c r="D757" s="15" t="s">
        <v>2799</v>
      </c>
      <c r="E757" s="23" t="s">
        <v>1293</v>
      </c>
      <c r="F757" s="24" t="s">
        <v>2800</v>
      </c>
      <c r="G757" s="24" t="s">
        <v>1774</v>
      </c>
      <c r="H757" s="24" t="s">
        <v>547</v>
      </c>
      <c r="I757" s="15" t="s">
        <v>1449</v>
      </c>
      <c r="J757" s="24"/>
      <c r="K757" s="15"/>
      <c r="M757" s="20" t="str">
        <f t="shared" si="11"/>
        <v>Lophelia pertusa</v>
      </c>
    </row>
    <row r="758" spans="1:13" s="25" customFormat="1" ht="15" customHeight="1" x14ac:dyDescent="0.2">
      <c r="A758" s="15" t="s">
        <v>566</v>
      </c>
      <c r="B758" s="15">
        <v>22520</v>
      </c>
      <c r="C758" s="21" t="s">
        <v>1042</v>
      </c>
      <c r="D758" s="42" t="s">
        <v>2801</v>
      </c>
      <c r="E758" s="23" t="s">
        <v>1293</v>
      </c>
      <c r="F758" s="24"/>
      <c r="G758" s="24" t="s">
        <v>1774</v>
      </c>
      <c r="H758" s="24" t="s">
        <v>547</v>
      </c>
      <c r="I758" s="15" t="s">
        <v>1294</v>
      </c>
      <c r="J758" s="24"/>
      <c r="K758" s="24"/>
      <c r="M758" s="20" t="str">
        <f t="shared" si="11"/>
        <v>Luria lurida</v>
      </c>
    </row>
    <row r="759" spans="1:13" s="25" customFormat="1" ht="15" customHeight="1" x14ac:dyDescent="0.2">
      <c r="A759" s="15" t="s">
        <v>566</v>
      </c>
      <c r="B759" s="15">
        <v>11430</v>
      </c>
      <c r="C759" s="21" t="s">
        <v>2802</v>
      </c>
      <c r="D759" s="42" t="s">
        <v>2803</v>
      </c>
      <c r="E759" s="23" t="s">
        <v>1293</v>
      </c>
      <c r="F759" s="24" t="s">
        <v>2804</v>
      </c>
      <c r="G759" s="24"/>
      <c r="H759" s="24" t="s">
        <v>1300</v>
      </c>
      <c r="I759" s="15" t="s">
        <v>1483</v>
      </c>
      <c r="J759" s="24" t="s">
        <v>2121</v>
      </c>
      <c r="K759" s="30"/>
      <c r="M759" s="20" t="str">
        <f t="shared" si="11"/>
        <v>Lycaena helle</v>
      </c>
    </row>
    <row r="760" spans="1:13" s="25" customFormat="1" ht="15" customHeight="1" x14ac:dyDescent="0.2">
      <c r="A760" s="15" t="s">
        <v>566</v>
      </c>
      <c r="B760" s="15">
        <v>12236</v>
      </c>
      <c r="C760" s="21" t="s">
        <v>1034</v>
      </c>
      <c r="D760" s="22" t="s">
        <v>2805</v>
      </c>
      <c r="E760" s="23" t="s">
        <v>1293</v>
      </c>
      <c r="F760" s="24" t="s">
        <v>1035</v>
      </c>
      <c r="G760" s="24"/>
      <c r="H760" s="24" t="s">
        <v>1300</v>
      </c>
      <c r="I760" s="15" t="s">
        <v>1294</v>
      </c>
      <c r="J760" s="24"/>
      <c r="K760" s="24"/>
      <c r="M760" s="20" t="str">
        <f t="shared" si="11"/>
        <v>Macromia splendens</v>
      </c>
    </row>
    <row r="761" spans="1:13" s="25" customFormat="1" ht="15" customHeight="1" x14ac:dyDescent="0.2">
      <c r="A761" s="15" t="s">
        <v>566</v>
      </c>
      <c r="B761" s="15">
        <v>10941</v>
      </c>
      <c r="C761" s="21" t="s">
        <v>663</v>
      </c>
      <c r="D761" s="42" t="s">
        <v>2806</v>
      </c>
      <c r="E761" s="23" t="s">
        <v>1293</v>
      </c>
      <c r="F761" s="24"/>
      <c r="G761" s="24"/>
      <c r="H761" s="24" t="s">
        <v>547</v>
      </c>
      <c r="I761" s="15" t="s">
        <v>1294</v>
      </c>
      <c r="J761" s="24"/>
      <c r="K761" s="24"/>
      <c r="M761" s="20" t="str">
        <f t="shared" si="11"/>
        <v>Macrothele calpeiana</v>
      </c>
    </row>
    <row r="762" spans="1:13" ht="15" customHeight="1" x14ac:dyDescent="0.2">
      <c r="A762" s="14" t="s">
        <v>566</v>
      </c>
      <c r="B762" s="15">
        <v>33112</v>
      </c>
      <c r="C762" s="16" t="s">
        <v>2807</v>
      </c>
      <c r="D762" s="15" t="s">
        <v>2808</v>
      </c>
      <c r="E762" s="17" t="s">
        <v>1293</v>
      </c>
      <c r="F762" s="18"/>
      <c r="G762" s="18"/>
      <c r="H762" s="18" t="s">
        <v>547</v>
      </c>
      <c r="I762" s="14" t="s">
        <v>1294</v>
      </c>
      <c r="J762" s="18"/>
      <c r="K762" s="18"/>
      <c r="M762" s="20" t="str">
        <f t="shared" si="11"/>
        <v>Maculinea arion</v>
      </c>
    </row>
    <row r="763" spans="1:13" ht="15" customHeight="1" x14ac:dyDescent="0.2">
      <c r="A763" s="15" t="s">
        <v>566</v>
      </c>
      <c r="B763" s="15">
        <v>11818</v>
      </c>
      <c r="C763" s="16" t="s">
        <v>2809</v>
      </c>
      <c r="D763" s="15" t="s">
        <v>2810</v>
      </c>
      <c r="E763" s="17" t="s">
        <v>1293</v>
      </c>
      <c r="F763" s="18" t="s">
        <v>2811</v>
      </c>
      <c r="G763" s="18"/>
      <c r="H763" s="18" t="s">
        <v>562</v>
      </c>
      <c r="I763" s="14" t="s">
        <v>1294</v>
      </c>
      <c r="J763" s="18"/>
      <c r="K763" s="18"/>
      <c r="M763" s="20" t="str">
        <f t="shared" si="11"/>
        <v>Maculinea nausithous</v>
      </c>
    </row>
    <row r="764" spans="1:13" ht="15.75" customHeight="1" x14ac:dyDescent="0.2">
      <c r="A764" s="14" t="s">
        <v>566</v>
      </c>
      <c r="B764" s="15">
        <v>20372</v>
      </c>
      <c r="C764" s="16" t="s">
        <v>2812</v>
      </c>
      <c r="D764" s="15" t="s">
        <v>2813</v>
      </c>
      <c r="E764" s="17" t="s">
        <v>1293</v>
      </c>
      <c r="F764" s="18" t="s">
        <v>2814</v>
      </c>
      <c r="G764" s="18" t="s">
        <v>1774</v>
      </c>
      <c r="H764" s="18" t="s">
        <v>547</v>
      </c>
      <c r="I764" s="14" t="s">
        <v>1449</v>
      </c>
      <c r="J764" s="18"/>
      <c r="K764" s="14"/>
      <c r="M764" s="20" t="str">
        <f t="shared" si="11"/>
        <v>Madrepora oculata</v>
      </c>
    </row>
    <row r="765" spans="1:13" ht="15" customHeight="1" x14ac:dyDescent="0.2">
      <c r="A765" s="14" t="s">
        <v>566</v>
      </c>
      <c r="B765" s="15">
        <v>12085</v>
      </c>
      <c r="C765" s="16" t="s">
        <v>2815</v>
      </c>
      <c r="D765" s="42" t="s">
        <v>2816</v>
      </c>
      <c r="E765" s="17" t="s">
        <v>1293</v>
      </c>
      <c r="F765" s="18" t="s">
        <v>2817</v>
      </c>
      <c r="G765" s="18"/>
      <c r="H765" s="18" t="s">
        <v>1300</v>
      </c>
      <c r="I765" s="14" t="s">
        <v>1294</v>
      </c>
      <c r="J765" s="18"/>
      <c r="K765" s="18"/>
      <c r="M765" s="20" t="str">
        <f t="shared" si="11"/>
        <v>Maiorerus randoi</v>
      </c>
    </row>
    <row r="766" spans="1:13" ht="14.45" customHeight="1" x14ac:dyDescent="0.2">
      <c r="A766" s="14" t="s">
        <v>566</v>
      </c>
      <c r="B766" s="15">
        <v>10713</v>
      </c>
      <c r="C766" s="16" t="s">
        <v>2818</v>
      </c>
      <c r="D766" s="26" t="s">
        <v>2819</v>
      </c>
      <c r="E766" s="17" t="s">
        <v>1293</v>
      </c>
      <c r="F766" s="18" t="s">
        <v>2820</v>
      </c>
      <c r="G766" s="18"/>
      <c r="H766" s="18" t="s">
        <v>1300</v>
      </c>
      <c r="I766" s="14" t="s">
        <v>1294</v>
      </c>
      <c r="J766" s="18"/>
      <c r="K766" s="18"/>
      <c r="M766" s="20" t="str">
        <f t="shared" si="11"/>
        <v>Margaritifera auricularia</v>
      </c>
    </row>
    <row r="767" spans="1:13" ht="15.75" customHeight="1" x14ac:dyDescent="0.2">
      <c r="A767" s="14" t="s">
        <v>566</v>
      </c>
      <c r="B767" s="15">
        <v>11662</v>
      </c>
      <c r="C767" s="43" t="s">
        <v>2821</v>
      </c>
      <c r="D767" s="42" t="s">
        <v>2822</v>
      </c>
      <c r="E767" s="18" t="s">
        <v>1293</v>
      </c>
      <c r="F767" s="24" t="s">
        <v>2823</v>
      </c>
      <c r="G767" s="18"/>
      <c r="H767" s="18" t="s">
        <v>1300</v>
      </c>
      <c r="I767" s="14" t="s">
        <v>1975</v>
      </c>
      <c r="J767" s="18" t="s">
        <v>2121</v>
      </c>
      <c r="K767" s="75" t="s">
        <v>2824</v>
      </c>
      <c r="M767" s="20" t="str">
        <f t="shared" si="11"/>
        <v>Margaritifera margaritifera</v>
      </c>
    </row>
    <row r="768" spans="1:13" s="25" customFormat="1" ht="15.75" customHeight="1" x14ac:dyDescent="0.2">
      <c r="A768" s="15" t="s">
        <v>566</v>
      </c>
      <c r="B768" s="31">
        <v>61279</v>
      </c>
      <c r="C768" s="28" t="s">
        <v>2825</v>
      </c>
      <c r="D768" s="76" t="s">
        <v>2826</v>
      </c>
      <c r="E768" s="24" t="s">
        <v>1293</v>
      </c>
      <c r="F768" s="32" t="s">
        <v>2827</v>
      </c>
      <c r="G768" s="32"/>
      <c r="H768" s="32" t="s">
        <v>562</v>
      </c>
      <c r="I768" s="15" t="s">
        <v>1483</v>
      </c>
      <c r="J768" s="24"/>
      <c r="K768" s="77"/>
      <c r="M768" s="20" t="str">
        <f t="shared" si="11"/>
        <v>Monilearia arguineguinensis (Seddon &amp; Aparicio 1998)</v>
      </c>
    </row>
    <row r="769" spans="1:13" ht="15" customHeight="1" x14ac:dyDescent="0.2">
      <c r="A769" s="14" t="s">
        <v>566</v>
      </c>
      <c r="B769" s="15">
        <v>19049</v>
      </c>
      <c r="C769" s="16" t="s">
        <v>2828</v>
      </c>
      <c r="D769" s="42" t="s">
        <v>2829</v>
      </c>
      <c r="E769" s="17" t="s">
        <v>1293</v>
      </c>
      <c r="F769" s="18" t="s">
        <v>2830</v>
      </c>
      <c r="G769" s="18"/>
      <c r="H769" s="18" t="s">
        <v>1300</v>
      </c>
      <c r="I769" s="14" t="s">
        <v>1294</v>
      </c>
      <c r="J769" s="18"/>
      <c r="K769" s="18"/>
      <c r="M769" s="20" t="str">
        <f t="shared" si="11"/>
        <v>Munidopsis polymorpha</v>
      </c>
    </row>
    <row r="770" spans="1:13" ht="15" customHeight="1" x14ac:dyDescent="0.2">
      <c r="A770" s="14" t="s">
        <v>566</v>
      </c>
      <c r="B770" s="15">
        <v>23019</v>
      </c>
      <c r="C770" s="16" t="s">
        <v>2831</v>
      </c>
      <c r="D770" s="42" t="s">
        <v>2832</v>
      </c>
      <c r="E770" s="17" t="s">
        <v>1293</v>
      </c>
      <c r="F770" s="18"/>
      <c r="G770" s="18"/>
      <c r="H770" s="18" t="s">
        <v>547</v>
      </c>
      <c r="I770" s="14" t="s">
        <v>1294</v>
      </c>
      <c r="J770" s="18"/>
      <c r="K770" s="18"/>
      <c r="M770" s="20" t="str">
        <f t="shared" si="11"/>
        <v>Nucella lapillus</v>
      </c>
    </row>
    <row r="771" spans="1:13" ht="15" customHeight="1" x14ac:dyDescent="0.2">
      <c r="A771" s="14" t="s">
        <v>566</v>
      </c>
      <c r="B771" s="15">
        <v>20878</v>
      </c>
      <c r="C771" s="16" t="s">
        <v>1053</v>
      </c>
      <c r="D771" s="42" t="s">
        <v>2833</v>
      </c>
      <c r="E771" s="17" t="s">
        <v>1293</v>
      </c>
      <c r="F771" s="18" t="s">
        <v>1054</v>
      </c>
      <c r="G771" s="18" t="s">
        <v>1774</v>
      </c>
      <c r="H771" s="18" t="s">
        <v>547</v>
      </c>
      <c r="I771" s="14" t="s">
        <v>1294</v>
      </c>
      <c r="J771" s="18"/>
      <c r="K771" s="18"/>
      <c r="M771" s="20" t="str">
        <f t="shared" ref="M771:M834" si="12">TRIM(C771)</f>
        <v>Ophidiaster ophidianus</v>
      </c>
    </row>
    <row r="772" spans="1:13" ht="15" customHeight="1" x14ac:dyDescent="0.2">
      <c r="A772" s="14" t="s">
        <v>566</v>
      </c>
      <c r="B772" s="15">
        <v>11213</v>
      </c>
      <c r="C772" s="16" t="s">
        <v>2834</v>
      </c>
      <c r="D772" s="42" t="s">
        <v>2835</v>
      </c>
      <c r="E772" s="17" t="s">
        <v>1293</v>
      </c>
      <c r="F772" s="18"/>
      <c r="G772" s="18"/>
      <c r="H772" s="18" t="s">
        <v>562</v>
      </c>
      <c r="I772" s="14" t="s">
        <v>1294</v>
      </c>
      <c r="J772" s="18"/>
      <c r="K772" s="18"/>
      <c r="M772" s="20" t="str">
        <f t="shared" si="12"/>
        <v>Osmoderma eremita</v>
      </c>
    </row>
    <row r="773" spans="1:13" s="25" customFormat="1" ht="15" customHeight="1" x14ac:dyDescent="0.2">
      <c r="A773" s="15" t="s">
        <v>566</v>
      </c>
      <c r="B773" s="15">
        <v>11115</v>
      </c>
      <c r="C773" s="21" t="s">
        <v>1036</v>
      </c>
      <c r="D773" s="22" t="s">
        <v>2836</v>
      </c>
      <c r="E773" s="23" t="s">
        <v>1293</v>
      </c>
      <c r="F773" s="24" t="s">
        <v>1035</v>
      </c>
      <c r="G773" s="24"/>
      <c r="H773" s="24" t="s">
        <v>562</v>
      </c>
      <c r="I773" s="15" t="s">
        <v>1294</v>
      </c>
      <c r="J773" s="24"/>
      <c r="K773" s="24"/>
      <c r="M773" s="20" t="str">
        <f t="shared" si="12"/>
        <v>Oxygastra curtisii</v>
      </c>
    </row>
    <row r="774" spans="1:13" ht="15" customHeight="1" x14ac:dyDescent="0.2">
      <c r="A774" s="14" t="s">
        <v>566</v>
      </c>
      <c r="B774" s="15">
        <v>19131</v>
      </c>
      <c r="C774" s="16" t="s">
        <v>2837</v>
      </c>
      <c r="D774" s="14" t="s">
        <v>2838</v>
      </c>
      <c r="E774" s="17" t="s">
        <v>1293</v>
      </c>
      <c r="F774" s="18" t="s">
        <v>2839</v>
      </c>
      <c r="G774" s="18"/>
      <c r="H774" s="18" t="s">
        <v>1300</v>
      </c>
      <c r="I774" s="14" t="s">
        <v>1294</v>
      </c>
      <c r="J774" s="18"/>
      <c r="K774" s="18"/>
      <c r="M774" s="20" t="str">
        <f t="shared" si="12"/>
        <v>Panulirus echinatus</v>
      </c>
    </row>
    <row r="775" spans="1:13" ht="15" customHeight="1" x14ac:dyDescent="0.2">
      <c r="A775" s="14" t="s">
        <v>566</v>
      </c>
      <c r="B775" s="15">
        <v>20283</v>
      </c>
      <c r="C775" s="16" t="s">
        <v>2840</v>
      </c>
      <c r="D775" s="15" t="s">
        <v>2841</v>
      </c>
      <c r="E775" s="17" t="s">
        <v>1293</v>
      </c>
      <c r="F775" s="18" t="s">
        <v>2842</v>
      </c>
      <c r="G775" s="18" t="s">
        <v>1774</v>
      </c>
      <c r="H775" s="18" t="s">
        <v>547</v>
      </c>
      <c r="I775" s="14" t="s">
        <v>1449</v>
      </c>
      <c r="J775" s="18"/>
      <c r="K775" s="14"/>
      <c r="M775" s="20" t="str">
        <f t="shared" si="12"/>
        <v>Parantipathes larix</v>
      </c>
    </row>
    <row r="776" spans="1:13" ht="17.25" customHeight="1" x14ac:dyDescent="0.2">
      <c r="A776" s="14" t="s">
        <v>566</v>
      </c>
      <c r="B776" s="15">
        <v>70515</v>
      </c>
      <c r="C776" s="16" t="s">
        <v>2843</v>
      </c>
      <c r="D776" s="15" t="s">
        <v>2844</v>
      </c>
      <c r="E776" s="17" t="s">
        <v>1318</v>
      </c>
      <c r="F776" s="18" t="s">
        <v>2845</v>
      </c>
      <c r="G776" s="18"/>
      <c r="H776" s="18" t="s">
        <v>1300</v>
      </c>
      <c r="I776" s="14" t="s">
        <v>1294</v>
      </c>
      <c r="J776" s="18"/>
      <c r="K776" s="18"/>
      <c r="M776" s="20" t="str">
        <f t="shared" si="12"/>
        <v>Patella candei candei</v>
      </c>
    </row>
    <row r="777" spans="1:13" s="27" customFormat="1" ht="15" customHeight="1" x14ac:dyDescent="0.2">
      <c r="A777" s="14" t="s">
        <v>566</v>
      </c>
      <c r="B777" s="15">
        <v>22057</v>
      </c>
      <c r="C777" s="16" t="s">
        <v>2846</v>
      </c>
      <c r="D777" s="15" t="s">
        <v>2847</v>
      </c>
      <c r="E777" s="17" t="s">
        <v>1293</v>
      </c>
      <c r="F777" s="18" t="s">
        <v>1044</v>
      </c>
      <c r="G777" s="18"/>
      <c r="H777" s="18" t="s">
        <v>1300</v>
      </c>
      <c r="I777" s="14" t="s">
        <v>1294</v>
      </c>
      <c r="J777" s="18"/>
      <c r="K777" s="18"/>
      <c r="M777" s="20" t="str">
        <f t="shared" si="12"/>
        <v>Patella ferruginea</v>
      </c>
    </row>
    <row r="778" spans="1:13" ht="15" customHeight="1" x14ac:dyDescent="0.2">
      <c r="A778" s="14" t="s">
        <v>566</v>
      </c>
      <c r="B778" s="15">
        <v>22053</v>
      </c>
      <c r="C778" s="21" t="s">
        <v>2848</v>
      </c>
      <c r="D778" s="30" t="s">
        <v>2849</v>
      </c>
      <c r="E778" s="17" t="s">
        <v>1293</v>
      </c>
      <c r="F778" s="18"/>
      <c r="G778" s="18"/>
      <c r="H778" s="18" t="s">
        <v>547</v>
      </c>
      <c r="I778" s="14" t="s">
        <v>1294</v>
      </c>
      <c r="J778" s="18"/>
      <c r="K778" s="18"/>
      <c r="M778" s="20" t="str">
        <f t="shared" si="12"/>
        <v>Patella ulyssiponensis aspera</v>
      </c>
    </row>
    <row r="779" spans="1:13" ht="15" customHeight="1" x14ac:dyDescent="0.2">
      <c r="A779" s="14" t="s">
        <v>566</v>
      </c>
      <c r="B779" s="15">
        <v>21325</v>
      </c>
      <c r="C779" s="16" t="s">
        <v>1048</v>
      </c>
      <c r="D779" s="15" t="s">
        <v>2850</v>
      </c>
      <c r="E779" s="17" t="s">
        <v>1293</v>
      </c>
      <c r="F779" s="18"/>
      <c r="G779" s="18" t="s">
        <v>1774</v>
      </c>
      <c r="H779" s="18" t="s">
        <v>547</v>
      </c>
      <c r="I779" s="14" t="s">
        <v>1294</v>
      </c>
      <c r="J779" s="18"/>
      <c r="K779" s="18"/>
      <c r="M779" s="20" t="str">
        <f t="shared" si="12"/>
        <v>Pholas dactylus</v>
      </c>
    </row>
    <row r="780" spans="1:13" ht="15" customHeight="1" x14ac:dyDescent="0.2">
      <c r="A780" s="14" t="s">
        <v>566</v>
      </c>
      <c r="B780" s="15">
        <v>11397</v>
      </c>
      <c r="C780" s="16" t="s">
        <v>2851</v>
      </c>
      <c r="D780" s="15" t="s">
        <v>2852</v>
      </c>
      <c r="E780" s="17" t="s">
        <v>1293</v>
      </c>
      <c r="F780" s="18" t="s">
        <v>2853</v>
      </c>
      <c r="G780" s="18"/>
      <c r="H780" s="18" t="s">
        <v>1300</v>
      </c>
      <c r="I780" s="14" t="s">
        <v>1294</v>
      </c>
      <c r="J780" s="18"/>
      <c r="K780" s="18"/>
      <c r="M780" s="20" t="str">
        <f t="shared" si="12"/>
        <v>Pimelia granulicollis</v>
      </c>
    </row>
    <row r="781" spans="1:13" ht="15" customHeight="1" x14ac:dyDescent="0.2">
      <c r="A781" s="14" t="s">
        <v>566</v>
      </c>
      <c r="B781" s="15">
        <v>21446</v>
      </c>
      <c r="C781" s="16" t="s">
        <v>1049</v>
      </c>
      <c r="D781" s="14" t="s">
        <v>2854</v>
      </c>
      <c r="E781" s="17" t="s">
        <v>1293</v>
      </c>
      <c r="F781" s="18" t="s">
        <v>2855</v>
      </c>
      <c r="G781" s="18"/>
      <c r="H781" s="18" t="s">
        <v>1300</v>
      </c>
      <c r="I781" s="14" t="s">
        <v>1449</v>
      </c>
      <c r="J781" s="18" t="s">
        <v>1473</v>
      </c>
      <c r="K781" s="35"/>
      <c r="M781" s="20" t="str">
        <f t="shared" si="12"/>
        <v>Pinna nobilis</v>
      </c>
    </row>
    <row r="782" spans="1:13" ht="15" customHeight="1" x14ac:dyDescent="0.2">
      <c r="A782" s="14" t="s">
        <v>566</v>
      </c>
      <c r="B782" s="15">
        <v>21447</v>
      </c>
      <c r="C782" s="16" t="s">
        <v>1050</v>
      </c>
      <c r="D782" s="15" t="s">
        <v>2856</v>
      </c>
      <c r="E782" s="17" t="s">
        <v>1293</v>
      </c>
      <c r="F782" s="18"/>
      <c r="G782" s="18" t="s">
        <v>1774</v>
      </c>
      <c r="H782" s="18" t="s">
        <v>547</v>
      </c>
      <c r="I782" s="14" t="s">
        <v>1294</v>
      </c>
      <c r="J782" s="18"/>
      <c r="K782" s="18"/>
      <c r="M782" s="20" t="str">
        <f t="shared" si="12"/>
        <v>Pinna rudis</v>
      </c>
    </row>
    <row r="783" spans="1:13" ht="15" customHeight="1" x14ac:dyDescent="0.2">
      <c r="A783" s="14" t="s">
        <v>566</v>
      </c>
      <c r="B783" s="15">
        <v>11378</v>
      </c>
      <c r="C783" s="21" t="s">
        <v>1028</v>
      </c>
      <c r="D783" s="15" t="s">
        <v>2857</v>
      </c>
      <c r="E783" s="17" t="s">
        <v>1293</v>
      </c>
      <c r="F783" s="18" t="s">
        <v>1029</v>
      </c>
      <c r="G783" s="18"/>
      <c r="H783" s="18" t="s">
        <v>1300</v>
      </c>
      <c r="I783" s="14" t="s">
        <v>1294</v>
      </c>
      <c r="J783" s="18"/>
      <c r="K783" s="18"/>
      <c r="M783" s="20" t="str">
        <f t="shared" si="12"/>
        <v>Polyommatus golgus</v>
      </c>
    </row>
    <row r="784" spans="1:13" ht="16.5" customHeight="1" x14ac:dyDescent="0.2">
      <c r="A784" s="14" t="s">
        <v>566</v>
      </c>
      <c r="B784" s="15">
        <v>12023</v>
      </c>
      <c r="C784" s="16" t="s">
        <v>1030</v>
      </c>
      <c r="D784" s="15" t="s">
        <v>2858</v>
      </c>
      <c r="E784" s="17" t="s">
        <v>1293</v>
      </c>
      <c r="F784" s="18"/>
      <c r="G784" s="18"/>
      <c r="H784" s="18" t="s">
        <v>547</v>
      </c>
      <c r="I784" s="14" t="s">
        <v>1294</v>
      </c>
      <c r="J784" s="18"/>
      <c r="K784" s="18"/>
      <c r="M784" s="20" t="str">
        <f t="shared" si="12"/>
        <v>Proserpinus proserpina</v>
      </c>
    </row>
    <row r="785" spans="1:13" s="25" customFormat="1" ht="16.5" customHeight="1" x14ac:dyDescent="0.2">
      <c r="A785" s="15" t="s">
        <v>566</v>
      </c>
      <c r="B785" s="31">
        <v>10893</v>
      </c>
      <c r="C785" s="28" t="s">
        <v>2859</v>
      </c>
      <c r="D785" s="28" t="s">
        <v>2860</v>
      </c>
      <c r="E785" s="17" t="s">
        <v>1293</v>
      </c>
      <c r="F785" s="32" t="s">
        <v>2861</v>
      </c>
      <c r="G785" s="32"/>
      <c r="H785" s="32" t="s">
        <v>547</v>
      </c>
      <c r="I785" s="15" t="s">
        <v>1483</v>
      </c>
      <c r="J785" s="24"/>
      <c r="K785" s="24"/>
      <c r="M785" s="20" t="str">
        <f t="shared" si="12"/>
        <v>Pyrgus cinarae (Rambur 1839)</v>
      </c>
    </row>
    <row r="786" spans="1:13" s="25" customFormat="1" ht="16.5" customHeight="1" x14ac:dyDescent="0.2">
      <c r="A786" s="15" t="s">
        <v>566</v>
      </c>
      <c r="B786" s="31">
        <v>12210</v>
      </c>
      <c r="C786" s="28" t="s">
        <v>2862</v>
      </c>
      <c r="D786" s="28" t="s">
        <v>2863</v>
      </c>
      <c r="E786" s="17" t="s">
        <v>1293</v>
      </c>
      <c r="F786" s="32" t="s">
        <v>2864</v>
      </c>
      <c r="G786" s="32"/>
      <c r="H786" s="32" t="s">
        <v>547</v>
      </c>
      <c r="I786" s="15" t="s">
        <v>1483</v>
      </c>
      <c r="J786" s="24"/>
      <c r="K786" s="24"/>
      <c r="M786" s="20" t="str">
        <f t="shared" si="12"/>
        <v>Pyrgus sidae (Esper, 1784)</v>
      </c>
    </row>
    <row r="787" spans="1:13" ht="15" customHeight="1" x14ac:dyDescent="0.2">
      <c r="A787" s="14" t="s">
        <v>566</v>
      </c>
      <c r="B787" s="15">
        <v>22603</v>
      </c>
      <c r="C787" s="16" t="s">
        <v>2865</v>
      </c>
      <c r="D787" s="15" t="s">
        <v>2866</v>
      </c>
      <c r="E787" s="17" t="s">
        <v>1293</v>
      </c>
      <c r="F787" s="18"/>
      <c r="G787" s="18" t="s">
        <v>1774</v>
      </c>
      <c r="H787" s="18" t="s">
        <v>547</v>
      </c>
      <c r="I787" s="14" t="s">
        <v>1294</v>
      </c>
      <c r="J787" s="18"/>
      <c r="K787" s="18"/>
      <c r="M787" s="20" t="str">
        <f t="shared" si="12"/>
        <v>Ranella olearia</v>
      </c>
    </row>
    <row r="788" spans="1:13" ht="15" customHeight="1" x14ac:dyDescent="0.2">
      <c r="A788" s="14" t="s">
        <v>566</v>
      </c>
      <c r="B788" s="15">
        <v>10679</v>
      </c>
      <c r="C788" s="16" t="s">
        <v>2867</v>
      </c>
      <c r="D788" s="15" t="s">
        <v>2868</v>
      </c>
      <c r="E788" s="17" t="s">
        <v>1293</v>
      </c>
      <c r="F788" s="18"/>
      <c r="G788" s="18"/>
      <c r="H788" s="18" t="s">
        <v>547</v>
      </c>
      <c r="I788" s="14" t="s">
        <v>1294</v>
      </c>
      <c r="J788" s="18"/>
      <c r="K788" s="18"/>
      <c r="M788" s="20" t="str">
        <f t="shared" si="12"/>
        <v>Rosalia alpina</v>
      </c>
    </row>
    <row r="789" spans="1:13" ht="15" customHeight="1" x14ac:dyDescent="0.2">
      <c r="A789" s="14" t="s">
        <v>566</v>
      </c>
      <c r="B789" s="15">
        <v>11952</v>
      </c>
      <c r="C789" s="16" t="s">
        <v>2869</v>
      </c>
      <c r="D789" s="15" t="s">
        <v>2870</v>
      </c>
      <c r="E789" s="17" t="s">
        <v>1293</v>
      </c>
      <c r="F789" s="18"/>
      <c r="G789" s="18"/>
      <c r="H789" s="18" t="s">
        <v>547</v>
      </c>
      <c r="I789" s="14" t="s">
        <v>1294</v>
      </c>
      <c r="J789" s="18"/>
      <c r="K789" s="18"/>
      <c r="M789" s="20" t="str">
        <f t="shared" si="12"/>
        <v>Saga pedo</v>
      </c>
    </row>
    <row r="790" spans="1:13" ht="15.75" customHeight="1" x14ac:dyDescent="0.2">
      <c r="A790" s="14" t="s">
        <v>566</v>
      </c>
      <c r="B790" s="15">
        <v>32347</v>
      </c>
      <c r="C790" s="16" t="s">
        <v>2871</v>
      </c>
      <c r="D790" s="15" t="s">
        <v>2872</v>
      </c>
      <c r="E790" s="17" t="s">
        <v>1293</v>
      </c>
      <c r="F790" s="18" t="s">
        <v>2873</v>
      </c>
      <c r="G790" s="18" t="s">
        <v>1774</v>
      </c>
      <c r="H790" s="18" t="s">
        <v>547</v>
      </c>
      <c r="I790" s="14" t="s">
        <v>1449</v>
      </c>
      <c r="J790" s="18"/>
      <c r="K790" s="14"/>
      <c r="M790" s="20" t="str">
        <f t="shared" si="12"/>
        <v>Sarcotragus foetidus</v>
      </c>
    </row>
    <row r="791" spans="1:13" ht="15" customHeight="1" x14ac:dyDescent="0.2">
      <c r="A791" s="14" t="s">
        <v>566</v>
      </c>
      <c r="B791" s="15">
        <v>24280</v>
      </c>
      <c r="C791" s="16" t="s">
        <v>1060</v>
      </c>
      <c r="D791" s="14" t="s">
        <v>2874</v>
      </c>
      <c r="E791" s="17" t="s">
        <v>1293</v>
      </c>
      <c r="F791" s="18"/>
      <c r="G791" s="18" t="s">
        <v>1774</v>
      </c>
      <c r="H791" s="18" t="s">
        <v>547</v>
      </c>
      <c r="I791" s="14" t="s">
        <v>1294</v>
      </c>
      <c r="J791" s="18"/>
      <c r="K791" s="16"/>
      <c r="M791" s="20" t="str">
        <f t="shared" si="12"/>
        <v>Sarcophagus pipetta</v>
      </c>
    </row>
    <row r="792" spans="1:13" ht="13.5" customHeight="1" x14ac:dyDescent="0.2">
      <c r="A792" s="14" t="s">
        <v>566</v>
      </c>
      <c r="B792" s="15">
        <v>20394</v>
      </c>
      <c r="C792" s="16" t="s">
        <v>1057</v>
      </c>
      <c r="D792" s="14" t="s">
        <v>2875</v>
      </c>
      <c r="E792" s="17" t="s">
        <v>1293</v>
      </c>
      <c r="F792" s="18"/>
      <c r="G792" s="18" t="s">
        <v>1774</v>
      </c>
      <c r="H792" s="18" t="s">
        <v>547</v>
      </c>
      <c r="I792" s="14" t="s">
        <v>1294</v>
      </c>
      <c r="J792" s="18"/>
      <c r="K792" s="18"/>
      <c r="M792" s="20" t="str">
        <f t="shared" si="12"/>
        <v>Savalia savaglia</v>
      </c>
    </row>
    <row r="793" spans="1:13" ht="15" customHeight="1" x14ac:dyDescent="0.2">
      <c r="A793" s="14" t="s">
        <v>566</v>
      </c>
      <c r="B793" s="15">
        <v>22521</v>
      </c>
      <c r="C793" s="16" t="s">
        <v>1045</v>
      </c>
      <c r="D793" s="30" t="s">
        <v>2876</v>
      </c>
      <c r="E793" s="17" t="s">
        <v>1293</v>
      </c>
      <c r="F793" s="18"/>
      <c r="G793" s="18" t="s">
        <v>1774</v>
      </c>
      <c r="H793" s="18" t="s">
        <v>547</v>
      </c>
      <c r="I793" s="14" t="s">
        <v>1294</v>
      </c>
      <c r="J793" s="18"/>
      <c r="K793" s="18"/>
      <c r="M793" s="20" t="str">
        <f t="shared" si="12"/>
        <v>Schilderia achatidea</v>
      </c>
    </row>
    <row r="794" spans="1:13" s="78" customFormat="1" ht="14.25" customHeight="1" x14ac:dyDescent="0.2">
      <c r="A794" s="14" t="s">
        <v>566</v>
      </c>
      <c r="B794" s="15">
        <v>32282</v>
      </c>
      <c r="C794" s="16" t="s">
        <v>2877</v>
      </c>
      <c r="D794" s="42" t="s">
        <v>2878</v>
      </c>
      <c r="E794" s="17" t="s">
        <v>1293</v>
      </c>
      <c r="F794" s="18" t="s">
        <v>2879</v>
      </c>
      <c r="G794" s="18"/>
      <c r="H794" s="18" t="s">
        <v>1300</v>
      </c>
      <c r="I794" s="14" t="s">
        <v>1294</v>
      </c>
      <c r="J794" s="18"/>
      <c r="K794" s="18"/>
      <c r="M794" s="20" t="str">
        <f t="shared" si="12"/>
        <v>Speleonectes ondinae</v>
      </c>
    </row>
    <row r="795" spans="1:13" ht="15" customHeight="1" x14ac:dyDescent="0.2">
      <c r="A795" s="14" t="s">
        <v>566</v>
      </c>
      <c r="B795" s="15">
        <v>24291</v>
      </c>
      <c r="C795" s="64" t="s">
        <v>2880</v>
      </c>
      <c r="D795" s="79" t="s">
        <v>2881</v>
      </c>
      <c r="E795" s="17" t="s">
        <v>1293</v>
      </c>
      <c r="F795" s="18"/>
      <c r="G795" s="18" t="s">
        <v>1774</v>
      </c>
      <c r="H795" s="18" t="s">
        <v>547</v>
      </c>
      <c r="I795" s="14" t="s">
        <v>2059</v>
      </c>
      <c r="J795" s="80"/>
      <c r="K795" s="16"/>
      <c r="M795" s="20" t="str">
        <f t="shared" si="12"/>
        <v>(4) Tethya sp.</v>
      </c>
    </row>
    <row r="796" spans="1:13" s="27" customFormat="1" ht="15" customHeight="1" x14ac:dyDescent="0.2">
      <c r="A796" s="41" t="s">
        <v>566</v>
      </c>
      <c r="B796" s="42">
        <v>77005</v>
      </c>
      <c r="C796" s="49" t="s">
        <v>2882</v>
      </c>
      <c r="D796" s="39" t="s">
        <v>2883</v>
      </c>
      <c r="E796" s="17" t="s">
        <v>1293</v>
      </c>
      <c r="F796" s="18"/>
      <c r="G796" s="45"/>
      <c r="H796" s="45" t="s">
        <v>2884</v>
      </c>
      <c r="I796" s="41" t="s">
        <v>1411</v>
      </c>
      <c r="J796" s="45" t="s">
        <v>2291</v>
      </c>
      <c r="K796" s="39"/>
      <c r="M796" s="20" t="str">
        <f t="shared" si="12"/>
        <v>Theodoxus velascoi</v>
      </c>
    </row>
    <row r="797" spans="1:13" ht="14.25" customHeight="1" x14ac:dyDescent="0.2">
      <c r="A797" s="14" t="s">
        <v>566</v>
      </c>
      <c r="B797" s="15">
        <v>22763</v>
      </c>
      <c r="C797" s="16" t="s">
        <v>2885</v>
      </c>
      <c r="D797" s="14" t="s">
        <v>2886</v>
      </c>
      <c r="E797" s="17" t="s">
        <v>1293</v>
      </c>
      <c r="F797" s="18" t="s">
        <v>2887</v>
      </c>
      <c r="G797" s="18" t="s">
        <v>1774</v>
      </c>
      <c r="H797" s="18" t="s">
        <v>547</v>
      </c>
      <c r="I797" s="14" t="s">
        <v>1294</v>
      </c>
      <c r="J797" s="18"/>
      <c r="K797" s="18"/>
      <c r="M797" s="20" t="str">
        <f t="shared" si="12"/>
        <v>Tonna galea</v>
      </c>
    </row>
    <row r="798" spans="1:13" s="86" customFormat="1" ht="14.45" customHeight="1" x14ac:dyDescent="0.25">
      <c r="A798" s="81" t="s">
        <v>566</v>
      </c>
      <c r="B798" s="82">
        <v>36475</v>
      </c>
      <c r="C798" s="83" t="s">
        <v>2888</v>
      </c>
      <c r="D798" s="84" t="s">
        <v>2889</v>
      </c>
      <c r="E798" s="81" t="s">
        <v>1293</v>
      </c>
      <c r="F798" s="81" t="s">
        <v>2890</v>
      </c>
      <c r="G798" s="81"/>
      <c r="H798" s="81" t="s">
        <v>562</v>
      </c>
      <c r="I798" s="81" t="s">
        <v>1682</v>
      </c>
      <c r="J798" s="85"/>
      <c r="K798" s="85"/>
      <c r="M798" s="20" t="str">
        <f t="shared" si="12"/>
        <v>Tritia tingitana</v>
      </c>
    </row>
    <row r="799" spans="1:13" s="50" customFormat="1" ht="15" customHeight="1" x14ac:dyDescent="0.2">
      <c r="A799" s="14" t="s">
        <v>566</v>
      </c>
      <c r="B799" s="15">
        <v>11658</v>
      </c>
      <c r="C799" s="43" t="s">
        <v>2891</v>
      </c>
      <c r="D799" s="42" t="s">
        <v>2892</v>
      </c>
      <c r="E799" s="17" t="s">
        <v>1293</v>
      </c>
      <c r="F799" s="18" t="s">
        <v>2893</v>
      </c>
      <c r="G799" s="18"/>
      <c r="H799" s="18" t="s">
        <v>562</v>
      </c>
      <c r="I799" s="14" t="s">
        <v>1975</v>
      </c>
      <c r="J799" s="18"/>
      <c r="K799" s="18"/>
      <c r="M799" s="20" t="str">
        <f t="shared" si="12"/>
        <v>Unio mancus</v>
      </c>
    </row>
    <row r="800" spans="1:13" ht="15" customHeight="1" x14ac:dyDescent="0.2">
      <c r="A800" s="14" t="s">
        <v>566</v>
      </c>
      <c r="B800" s="15">
        <v>24297</v>
      </c>
      <c r="C800" s="43" t="s">
        <v>2894</v>
      </c>
      <c r="D800" s="42" t="s">
        <v>2895</v>
      </c>
      <c r="E800" s="17" t="s">
        <v>1293</v>
      </c>
      <c r="F800" s="18" t="s">
        <v>2896</v>
      </c>
      <c r="G800" s="18"/>
      <c r="H800" s="18" t="s">
        <v>1300</v>
      </c>
      <c r="I800" s="14" t="s">
        <v>1411</v>
      </c>
      <c r="J800" s="18"/>
      <c r="K800" s="18"/>
      <c r="M800" s="20" t="str">
        <f t="shared" si="12"/>
        <v>Unio ravoisieri (antes U. elongatulus)</v>
      </c>
    </row>
    <row r="801" spans="1:13" ht="15" customHeight="1" x14ac:dyDescent="0.2">
      <c r="A801" s="14" t="s">
        <v>566</v>
      </c>
      <c r="B801" s="15">
        <v>10696</v>
      </c>
      <c r="C801" s="16" t="s">
        <v>2897</v>
      </c>
      <c r="D801" s="14" t="s">
        <v>2898</v>
      </c>
      <c r="E801" s="17" t="s">
        <v>1293</v>
      </c>
      <c r="F801" s="18"/>
      <c r="G801" s="18"/>
      <c r="H801" s="18" t="s">
        <v>547</v>
      </c>
      <c r="I801" s="15" t="s">
        <v>1294</v>
      </c>
      <c r="J801" s="18"/>
      <c r="K801" s="18"/>
      <c r="M801" s="20" t="str">
        <f t="shared" si="12"/>
        <v>Vertigo angustior</v>
      </c>
    </row>
    <row r="802" spans="1:13" ht="15" customHeight="1" x14ac:dyDescent="0.2">
      <c r="A802" s="14" t="s">
        <v>566</v>
      </c>
      <c r="B802" s="15">
        <v>11788</v>
      </c>
      <c r="C802" s="16" t="s">
        <v>2899</v>
      </c>
      <c r="D802" s="14" t="s">
        <v>2900</v>
      </c>
      <c r="E802" s="17" t="s">
        <v>1293</v>
      </c>
      <c r="F802" s="18"/>
      <c r="G802" s="18"/>
      <c r="H802" s="18" t="s">
        <v>547</v>
      </c>
      <c r="I802" s="14" t="s">
        <v>1294</v>
      </c>
      <c r="J802" s="18"/>
      <c r="K802" s="18"/>
      <c r="M802" s="20" t="str">
        <f t="shared" si="12"/>
        <v>Vertigo moulinsiana</v>
      </c>
    </row>
    <row r="803" spans="1:13" ht="15" customHeight="1" x14ac:dyDescent="0.2">
      <c r="A803" s="14" t="s">
        <v>566</v>
      </c>
      <c r="B803" s="15">
        <v>22522</v>
      </c>
      <c r="C803" s="16" t="s">
        <v>1046</v>
      </c>
      <c r="D803" s="14" t="s">
        <v>2901</v>
      </c>
      <c r="E803" s="17" t="s">
        <v>1293</v>
      </c>
      <c r="F803" s="18"/>
      <c r="G803" s="18" t="s">
        <v>1774</v>
      </c>
      <c r="H803" s="18" t="s">
        <v>547</v>
      </c>
      <c r="I803" s="14" t="s">
        <v>1294</v>
      </c>
      <c r="J803" s="18"/>
      <c r="K803" s="18"/>
      <c r="M803" s="20" t="str">
        <f t="shared" si="12"/>
        <v>Zonaria pyrum</v>
      </c>
    </row>
    <row r="804" spans="1:13" ht="15" customHeight="1" x14ac:dyDescent="0.2">
      <c r="A804" s="15" t="s">
        <v>16</v>
      </c>
      <c r="B804" s="15">
        <v>10820</v>
      </c>
      <c r="C804" s="21" t="s">
        <v>1064</v>
      </c>
      <c r="D804" s="15" t="s">
        <v>2902</v>
      </c>
      <c r="E804" s="17" t="s">
        <v>1293</v>
      </c>
      <c r="F804" s="29" t="s">
        <v>2903</v>
      </c>
      <c r="G804" s="24"/>
      <c r="H804" s="18" t="s">
        <v>547</v>
      </c>
      <c r="I804" s="15" t="s">
        <v>1294</v>
      </c>
      <c r="J804" s="24"/>
      <c r="K804" s="24"/>
      <c r="M804" s="20" t="str">
        <f t="shared" si="12"/>
        <v>Barbastella barbastellus</v>
      </c>
    </row>
    <row r="805" spans="1:13" ht="15" customHeight="1" x14ac:dyDescent="0.2">
      <c r="A805" s="42" t="s">
        <v>16</v>
      </c>
      <c r="B805" s="15">
        <v>20089</v>
      </c>
      <c r="C805" s="43" t="s">
        <v>1088</v>
      </c>
      <c r="D805" s="15" t="s">
        <v>2904</v>
      </c>
      <c r="E805" s="17" t="s">
        <v>1293</v>
      </c>
      <c r="F805" s="29" t="s">
        <v>1089</v>
      </c>
      <c r="G805" s="29"/>
      <c r="H805" s="18" t="s">
        <v>547</v>
      </c>
      <c r="I805" s="42" t="s">
        <v>1294</v>
      </c>
      <c r="J805" s="46"/>
      <c r="K805" s="46"/>
      <c r="M805" s="20" t="str">
        <f t="shared" si="12"/>
        <v>Kogia breviceps</v>
      </c>
    </row>
    <row r="806" spans="1:13" s="27" customFormat="1" ht="15" customHeight="1" x14ac:dyDescent="0.2">
      <c r="A806" s="15" t="s">
        <v>16</v>
      </c>
      <c r="B806" s="15">
        <v>20090</v>
      </c>
      <c r="C806" s="21" t="s">
        <v>1090</v>
      </c>
      <c r="D806" s="15" t="s">
        <v>2905</v>
      </c>
      <c r="E806" s="17" t="s">
        <v>1293</v>
      </c>
      <c r="F806" s="24" t="s">
        <v>1091</v>
      </c>
      <c r="G806" s="24"/>
      <c r="H806" s="18" t="s">
        <v>547</v>
      </c>
      <c r="I806" s="15" t="s">
        <v>1294</v>
      </c>
      <c r="J806" s="18"/>
      <c r="K806" s="18"/>
      <c r="M806" s="20" t="str">
        <f t="shared" si="12"/>
        <v>Kogia sima</v>
      </c>
    </row>
    <row r="807" spans="1:13" s="27" customFormat="1" ht="15" customHeight="1" x14ac:dyDescent="0.2">
      <c r="A807" s="15" t="s">
        <v>16</v>
      </c>
      <c r="B807" s="15">
        <v>20076</v>
      </c>
      <c r="C807" s="21" t="s">
        <v>2906</v>
      </c>
      <c r="D807" s="15" t="s">
        <v>2907</v>
      </c>
      <c r="E807" s="17" t="s">
        <v>1293</v>
      </c>
      <c r="F807" s="24" t="s">
        <v>2908</v>
      </c>
      <c r="G807" s="24"/>
      <c r="H807" s="18" t="s">
        <v>547</v>
      </c>
      <c r="I807" s="15" t="s">
        <v>1294</v>
      </c>
      <c r="J807" s="18"/>
      <c r="K807" s="18"/>
      <c r="M807" s="20" t="str">
        <f t="shared" si="12"/>
        <v>Lagenodelphis hosei</v>
      </c>
    </row>
    <row r="808" spans="1:13" ht="15" customHeight="1" x14ac:dyDescent="0.2">
      <c r="A808" s="15" t="s">
        <v>16</v>
      </c>
      <c r="B808" s="15">
        <v>11637</v>
      </c>
      <c r="C808" s="21" t="s">
        <v>571</v>
      </c>
      <c r="D808" s="15" t="s">
        <v>2909</v>
      </c>
      <c r="E808" s="17" t="s">
        <v>1293</v>
      </c>
      <c r="F808" s="24" t="s">
        <v>572</v>
      </c>
      <c r="G808" s="24"/>
      <c r="H808" s="18" t="s">
        <v>547</v>
      </c>
      <c r="I808" s="15" t="s">
        <v>1294</v>
      </c>
      <c r="J808" s="18"/>
      <c r="K808" s="18"/>
      <c r="M808" s="20" t="str">
        <f t="shared" si="12"/>
        <v>Lutra lutra</v>
      </c>
    </row>
    <row r="809" spans="1:13" ht="15" customHeight="1" x14ac:dyDescent="0.2">
      <c r="A809" s="15" t="s">
        <v>16</v>
      </c>
      <c r="B809" s="15">
        <v>11943</v>
      </c>
      <c r="C809" s="21" t="s">
        <v>1079</v>
      </c>
      <c r="D809" s="15" t="s">
        <v>2910</v>
      </c>
      <c r="E809" s="17" t="s">
        <v>1293</v>
      </c>
      <c r="F809" s="24" t="s">
        <v>1080</v>
      </c>
      <c r="G809" s="24"/>
      <c r="H809" s="24" t="s">
        <v>1300</v>
      </c>
      <c r="I809" s="15" t="s">
        <v>1294</v>
      </c>
      <c r="J809" s="18"/>
      <c r="K809" s="18"/>
      <c r="M809" s="20" t="str">
        <f t="shared" si="12"/>
        <v>Lynx pardinus</v>
      </c>
    </row>
    <row r="810" spans="1:13" ht="15" customHeight="1" x14ac:dyDescent="0.2">
      <c r="A810" s="15" t="s">
        <v>16</v>
      </c>
      <c r="B810" s="15">
        <v>20069</v>
      </c>
      <c r="C810" s="21" t="s">
        <v>1086</v>
      </c>
      <c r="D810" s="15" t="s">
        <v>2911</v>
      </c>
      <c r="E810" s="17" t="s">
        <v>1293</v>
      </c>
      <c r="F810" s="24" t="s">
        <v>1087</v>
      </c>
      <c r="G810" s="24"/>
      <c r="H810" s="24" t="s">
        <v>562</v>
      </c>
      <c r="I810" s="15" t="s">
        <v>1294</v>
      </c>
      <c r="J810" s="18"/>
      <c r="K810" s="18"/>
      <c r="M810" s="20" t="str">
        <f t="shared" si="12"/>
        <v>Megaptera novaeangliae</v>
      </c>
    </row>
    <row r="811" spans="1:13" ht="12.75" customHeight="1" x14ac:dyDescent="0.2">
      <c r="A811" s="15" t="s">
        <v>16</v>
      </c>
      <c r="B811" s="15">
        <v>20095</v>
      </c>
      <c r="C811" s="21" t="s">
        <v>1108</v>
      </c>
      <c r="D811" s="15" t="s">
        <v>2912</v>
      </c>
      <c r="E811" s="17" t="s">
        <v>1293</v>
      </c>
      <c r="F811" s="24" t="s">
        <v>1109</v>
      </c>
      <c r="G811" s="24"/>
      <c r="H811" s="18" t="s">
        <v>547</v>
      </c>
      <c r="I811" s="15" t="s">
        <v>1294</v>
      </c>
      <c r="J811" s="18"/>
      <c r="K811" s="18"/>
      <c r="M811" s="20" t="str">
        <f t="shared" si="12"/>
        <v>Mesoplodon densirostris</v>
      </c>
    </row>
    <row r="812" spans="1:13" ht="15" customHeight="1" x14ac:dyDescent="0.2">
      <c r="A812" s="15" t="s">
        <v>16</v>
      </c>
      <c r="B812" s="15">
        <v>20096</v>
      </c>
      <c r="C812" s="21" t="s">
        <v>1110</v>
      </c>
      <c r="D812" s="15" t="s">
        <v>2913</v>
      </c>
      <c r="E812" s="17" t="s">
        <v>1293</v>
      </c>
      <c r="F812" s="24" t="s">
        <v>1111</v>
      </c>
      <c r="G812" s="24"/>
      <c r="H812" s="18" t="s">
        <v>547</v>
      </c>
      <c r="I812" s="15" t="s">
        <v>1294</v>
      </c>
      <c r="J812" s="18"/>
      <c r="K812" s="18"/>
      <c r="M812" s="20" t="str">
        <f t="shared" si="12"/>
        <v>Mesoplodon europaeus</v>
      </c>
    </row>
    <row r="813" spans="1:13" ht="15" customHeight="1" x14ac:dyDescent="0.2">
      <c r="A813" s="15" t="s">
        <v>16</v>
      </c>
      <c r="B813" s="15">
        <v>20098</v>
      </c>
      <c r="C813" s="21" t="s">
        <v>1112</v>
      </c>
      <c r="D813" s="15" t="s">
        <v>2914</v>
      </c>
      <c r="E813" s="17" t="s">
        <v>1293</v>
      </c>
      <c r="F813" s="24" t="s">
        <v>1113</v>
      </c>
      <c r="G813" s="24"/>
      <c r="H813" s="18" t="s">
        <v>547</v>
      </c>
      <c r="I813" s="15" t="s">
        <v>1294</v>
      </c>
      <c r="J813" s="18"/>
      <c r="K813" s="18"/>
      <c r="M813" s="20" t="str">
        <f t="shared" si="12"/>
        <v>Mesoplodon mirus</v>
      </c>
    </row>
    <row r="814" spans="1:13" ht="15" customHeight="1" x14ac:dyDescent="0.2">
      <c r="A814" s="15" t="s">
        <v>16</v>
      </c>
      <c r="B814" s="15">
        <v>11803</v>
      </c>
      <c r="C814" s="21" t="s">
        <v>560</v>
      </c>
      <c r="D814" s="15" t="s">
        <v>2915</v>
      </c>
      <c r="E814" s="17" t="s">
        <v>1293</v>
      </c>
      <c r="F814" s="24" t="s">
        <v>561</v>
      </c>
      <c r="G814" s="24"/>
      <c r="H814" s="24" t="s">
        <v>562</v>
      </c>
      <c r="I814" s="15" t="s">
        <v>1294</v>
      </c>
      <c r="J814" s="24"/>
      <c r="K814" s="24"/>
      <c r="M814" s="20" t="str">
        <f t="shared" si="12"/>
        <v>Myotis myotis</v>
      </c>
    </row>
    <row r="815" spans="1:13" ht="15" customHeight="1" x14ac:dyDescent="0.2">
      <c r="A815" s="14" t="s">
        <v>16</v>
      </c>
      <c r="B815" s="15">
        <v>10669</v>
      </c>
      <c r="C815" s="16" t="s">
        <v>2916</v>
      </c>
      <c r="D815" s="14" t="s">
        <v>2917</v>
      </c>
      <c r="E815" s="17" t="s">
        <v>1293</v>
      </c>
      <c r="F815" s="18" t="s">
        <v>1061</v>
      </c>
      <c r="G815" s="18" t="s">
        <v>1324</v>
      </c>
      <c r="H815" s="18" t="s">
        <v>547</v>
      </c>
      <c r="I815" s="14" t="s">
        <v>1294</v>
      </c>
      <c r="J815" s="18"/>
      <c r="K815" s="18"/>
      <c r="M815" s="20" t="str">
        <f t="shared" si="12"/>
        <v>Atelerix algirus</v>
      </c>
    </row>
    <row r="816" spans="1:13" ht="15" customHeight="1" x14ac:dyDescent="0.2">
      <c r="A816" s="14" t="s">
        <v>16</v>
      </c>
      <c r="B816" s="15">
        <v>32175</v>
      </c>
      <c r="C816" s="16" t="s">
        <v>1081</v>
      </c>
      <c r="D816" s="14" t="s">
        <v>2918</v>
      </c>
      <c r="E816" s="17" t="s">
        <v>1293</v>
      </c>
      <c r="F816" s="18" t="s">
        <v>1082</v>
      </c>
      <c r="G816" s="18"/>
      <c r="H816" s="18" t="s">
        <v>562</v>
      </c>
      <c r="I816" s="14" t="s">
        <v>1294</v>
      </c>
      <c r="J816" s="18"/>
      <c r="K816" s="18"/>
      <c r="M816" s="20" t="str">
        <f t="shared" si="12"/>
        <v>Balaenoptera acutorostrata</v>
      </c>
    </row>
    <row r="817" spans="1:13" ht="12.75" customHeight="1" x14ac:dyDescent="0.2">
      <c r="A817" s="14" t="s">
        <v>16</v>
      </c>
      <c r="B817" s="15">
        <v>32176</v>
      </c>
      <c r="C817" s="16" t="s">
        <v>2919</v>
      </c>
      <c r="D817" s="14" t="s">
        <v>2920</v>
      </c>
      <c r="E817" s="17" t="s">
        <v>1293</v>
      </c>
      <c r="F817" s="18" t="s">
        <v>2921</v>
      </c>
      <c r="G817" s="18"/>
      <c r="H817" s="18" t="s">
        <v>562</v>
      </c>
      <c r="I817" s="14" t="s">
        <v>1294</v>
      </c>
      <c r="J817" s="18"/>
      <c r="K817" s="18"/>
      <c r="M817" s="20" t="str">
        <f t="shared" si="12"/>
        <v>Balaenoptera borealis</v>
      </c>
    </row>
    <row r="818" spans="1:13" ht="15" customHeight="1" x14ac:dyDescent="0.2">
      <c r="A818" s="14" t="s">
        <v>16</v>
      </c>
      <c r="B818" s="15">
        <v>20066</v>
      </c>
      <c r="C818" s="16" t="s">
        <v>2922</v>
      </c>
      <c r="D818" s="14" t="s">
        <v>2923</v>
      </c>
      <c r="E818" s="17" t="s">
        <v>1293</v>
      </c>
      <c r="F818" s="18" t="s">
        <v>2924</v>
      </c>
      <c r="G818" s="18"/>
      <c r="H818" s="18" t="s">
        <v>547</v>
      </c>
      <c r="I818" s="14" t="s">
        <v>1294</v>
      </c>
      <c r="J818" s="18"/>
      <c r="K818" s="18"/>
      <c r="M818" s="20" t="str">
        <f t="shared" si="12"/>
        <v>Balaenoptera edeni/brydei</v>
      </c>
    </row>
    <row r="819" spans="1:13" ht="15" customHeight="1" x14ac:dyDescent="0.2">
      <c r="A819" s="14" t="s">
        <v>16</v>
      </c>
      <c r="B819" s="15">
        <v>32177</v>
      </c>
      <c r="C819" s="16" t="s">
        <v>1083</v>
      </c>
      <c r="D819" s="14" t="s">
        <v>2925</v>
      </c>
      <c r="E819" s="17" t="s">
        <v>1293</v>
      </c>
      <c r="F819" s="18" t="s">
        <v>1084</v>
      </c>
      <c r="G819" s="18"/>
      <c r="H819" s="18" t="s">
        <v>562</v>
      </c>
      <c r="I819" s="14" t="s">
        <v>1294</v>
      </c>
      <c r="J819" s="18"/>
      <c r="K819" s="18"/>
      <c r="M819" s="20" t="str">
        <f t="shared" si="12"/>
        <v>Balaenoptera musculus</v>
      </c>
    </row>
    <row r="820" spans="1:13" ht="15" customHeight="1" x14ac:dyDescent="0.2">
      <c r="A820" s="14" t="s">
        <v>16</v>
      </c>
      <c r="B820" s="15">
        <v>32178</v>
      </c>
      <c r="C820" s="16" t="s">
        <v>2926</v>
      </c>
      <c r="D820" s="14" t="s">
        <v>2927</v>
      </c>
      <c r="E820" s="17" t="s">
        <v>1293</v>
      </c>
      <c r="F820" s="18" t="s">
        <v>1085</v>
      </c>
      <c r="G820" s="18"/>
      <c r="H820" s="18" t="s">
        <v>562</v>
      </c>
      <c r="I820" s="14" t="s">
        <v>1294</v>
      </c>
      <c r="J820" s="18"/>
      <c r="K820" s="18"/>
      <c r="M820" s="20" t="str">
        <f t="shared" si="12"/>
        <v>Balaenoptera physalus</v>
      </c>
    </row>
    <row r="821" spans="1:13" ht="58.9" customHeight="1" x14ac:dyDescent="0.25">
      <c r="A821" s="14" t="s">
        <v>16</v>
      </c>
      <c r="B821" s="15">
        <v>11627</v>
      </c>
      <c r="C821" s="16" t="s">
        <v>1076</v>
      </c>
      <c r="D821" s="14" t="s">
        <v>2928</v>
      </c>
      <c r="E821" s="24" t="s">
        <v>1293</v>
      </c>
      <c r="F821" s="18" t="s">
        <v>1077</v>
      </c>
      <c r="G821" s="18" t="s">
        <v>2929</v>
      </c>
      <c r="H821" s="18" t="s">
        <v>547</v>
      </c>
      <c r="I821" s="14" t="s">
        <v>2930</v>
      </c>
      <c r="J821" s="24" t="s">
        <v>2931</v>
      </c>
      <c r="K821" s="14" t="s">
        <v>2932</v>
      </c>
      <c r="M821" s="20" t="str">
        <f t="shared" si="12"/>
        <v>Canis lupus</v>
      </c>
    </row>
    <row r="822" spans="1:13" ht="12.75" customHeight="1" x14ac:dyDescent="0.2">
      <c r="A822" s="14" t="s">
        <v>16</v>
      </c>
      <c r="B822" s="15">
        <v>16233</v>
      </c>
      <c r="C822" s="16" t="s">
        <v>2933</v>
      </c>
      <c r="D822" s="14" t="s">
        <v>2934</v>
      </c>
      <c r="E822" s="17" t="s">
        <v>1293</v>
      </c>
      <c r="F822" s="18" t="s">
        <v>2935</v>
      </c>
      <c r="G822" s="18"/>
      <c r="H822" s="18" t="s">
        <v>547</v>
      </c>
      <c r="I822" s="14" t="s">
        <v>1682</v>
      </c>
      <c r="J822" s="24"/>
      <c r="K822" s="46"/>
      <c r="M822" s="20" t="str">
        <f t="shared" si="12"/>
        <v>Castor fiber</v>
      </c>
    </row>
    <row r="823" spans="1:13" ht="12.75" customHeight="1" x14ac:dyDescent="0.2">
      <c r="A823" s="14" t="s">
        <v>16</v>
      </c>
      <c r="B823" s="15">
        <v>10948</v>
      </c>
      <c r="C823" s="16" t="s">
        <v>2936</v>
      </c>
      <c r="D823" s="14" t="s">
        <v>2937</v>
      </c>
      <c r="E823" s="17" t="s">
        <v>1293</v>
      </c>
      <c r="F823" s="18" t="s">
        <v>2938</v>
      </c>
      <c r="G823" s="18"/>
      <c r="H823" s="18" t="s">
        <v>562</v>
      </c>
      <c r="I823" s="14" t="s">
        <v>1294</v>
      </c>
      <c r="J823" s="18"/>
      <c r="K823" s="18"/>
      <c r="M823" s="20" t="str">
        <f t="shared" si="12"/>
        <v>Crocidura canariensis</v>
      </c>
    </row>
    <row r="824" spans="1:13" ht="15" customHeight="1" x14ac:dyDescent="0.2">
      <c r="A824" s="14" t="s">
        <v>16</v>
      </c>
      <c r="B824" s="15">
        <v>32179</v>
      </c>
      <c r="C824" s="16" t="s">
        <v>1094</v>
      </c>
      <c r="D824" s="16" t="s">
        <v>2939</v>
      </c>
      <c r="E824" s="17" t="s">
        <v>1293</v>
      </c>
      <c r="F824" s="18" t="s">
        <v>1095</v>
      </c>
      <c r="G824" s="18" t="s">
        <v>2940</v>
      </c>
      <c r="H824" s="18" t="s">
        <v>547</v>
      </c>
      <c r="I824" s="14" t="s">
        <v>1294</v>
      </c>
      <c r="J824" s="18"/>
      <c r="K824" s="18"/>
      <c r="M824" s="20" t="str">
        <f t="shared" si="12"/>
        <v>Delphinus delphis</v>
      </c>
    </row>
    <row r="825" spans="1:13" s="27" customFormat="1" ht="15" customHeight="1" x14ac:dyDescent="0.2">
      <c r="A825" s="14" t="s">
        <v>16</v>
      </c>
      <c r="B825" s="15">
        <v>32179</v>
      </c>
      <c r="C825" s="16" t="s">
        <v>1094</v>
      </c>
      <c r="D825" s="36" t="s">
        <v>2941</v>
      </c>
      <c r="E825" s="17" t="s">
        <v>1293</v>
      </c>
      <c r="F825" s="18" t="s">
        <v>1095</v>
      </c>
      <c r="G825" s="18" t="s">
        <v>1774</v>
      </c>
      <c r="H825" s="18" t="s">
        <v>562</v>
      </c>
      <c r="I825" s="14" t="s">
        <v>1294</v>
      </c>
      <c r="J825" s="18"/>
      <c r="K825" s="18"/>
      <c r="M825" s="20" t="str">
        <f t="shared" si="12"/>
        <v>Delphinus delphis</v>
      </c>
    </row>
    <row r="826" spans="1:13" ht="15" customHeight="1" x14ac:dyDescent="0.2">
      <c r="A826" s="14" t="s">
        <v>16</v>
      </c>
      <c r="B826" s="15">
        <v>11792</v>
      </c>
      <c r="C826" s="16" t="s">
        <v>2942</v>
      </c>
      <c r="D826" s="14" t="s">
        <v>2943</v>
      </c>
      <c r="E826" s="17" t="s">
        <v>1293</v>
      </c>
      <c r="F826" s="18" t="s">
        <v>2944</v>
      </c>
      <c r="G826" s="18"/>
      <c r="H826" s="18" t="s">
        <v>547</v>
      </c>
      <c r="I826" s="14" t="s">
        <v>1294</v>
      </c>
      <c r="J826" s="18"/>
      <c r="K826" s="18"/>
      <c r="M826" s="20" t="str">
        <f t="shared" si="12"/>
        <v>Eliomys munbyanus</v>
      </c>
    </row>
    <row r="827" spans="1:13" s="87" customFormat="1" ht="15" customHeight="1" x14ac:dyDescent="0.2">
      <c r="A827" s="14" t="s">
        <v>16</v>
      </c>
      <c r="B827" s="15">
        <v>16225</v>
      </c>
      <c r="C827" s="16" t="s">
        <v>2945</v>
      </c>
      <c r="D827" s="14" t="s">
        <v>2946</v>
      </c>
      <c r="E827" s="17" t="s">
        <v>1293</v>
      </c>
      <c r="F827" s="45" t="s">
        <v>1065</v>
      </c>
      <c r="G827" s="18"/>
      <c r="H827" s="18" t="s">
        <v>547</v>
      </c>
      <c r="I827" s="14" t="s">
        <v>1294</v>
      </c>
      <c r="J827" s="18"/>
      <c r="K827" s="16"/>
      <c r="M827" s="20" t="str">
        <f t="shared" si="12"/>
        <v>Eptesicus isabellinus(antes E. serotinus)</v>
      </c>
    </row>
    <row r="828" spans="1:13" ht="15" customHeight="1" x14ac:dyDescent="0.2">
      <c r="A828" s="14" t="s">
        <v>16</v>
      </c>
      <c r="B828" s="15">
        <v>12197</v>
      </c>
      <c r="C828" s="16" t="s">
        <v>2947</v>
      </c>
      <c r="D828" s="14" t="s">
        <v>2948</v>
      </c>
      <c r="E828" s="17" t="s">
        <v>1293</v>
      </c>
      <c r="F828" s="18" t="s">
        <v>2949</v>
      </c>
      <c r="G828" s="18"/>
      <c r="H828" s="18" t="s">
        <v>547</v>
      </c>
      <c r="I828" s="14" t="s">
        <v>1294</v>
      </c>
      <c r="J828" s="18"/>
      <c r="K828" s="18"/>
      <c r="M828" s="20" t="str">
        <f t="shared" si="12"/>
        <v>Eptesicus serotinus</v>
      </c>
    </row>
    <row r="829" spans="1:13" ht="12.75" customHeight="1" x14ac:dyDescent="0.2">
      <c r="A829" s="14" t="s">
        <v>16</v>
      </c>
      <c r="B829" s="15">
        <v>20063</v>
      </c>
      <c r="C829" s="16" t="s">
        <v>2950</v>
      </c>
      <c r="D829" s="14" t="s">
        <v>2951</v>
      </c>
      <c r="E829" s="17" t="s">
        <v>1293</v>
      </c>
      <c r="F829" s="18" t="s">
        <v>2952</v>
      </c>
      <c r="G829" s="18"/>
      <c r="H829" s="18" t="s">
        <v>1300</v>
      </c>
      <c r="I829" s="14" t="s">
        <v>1294</v>
      </c>
      <c r="J829" s="18"/>
      <c r="K829" s="18"/>
      <c r="M829" s="20" t="str">
        <f t="shared" si="12"/>
        <v>Eubalaena glacialis</v>
      </c>
    </row>
    <row r="830" spans="1:13" ht="15" customHeight="1" x14ac:dyDescent="0.2">
      <c r="A830" s="14" t="s">
        <v>16</v>
      </c>
      <c r="B830" s="15">
        <v>12214</v>
      </c>
      <c r="C830" s="16" t="s">
        <v>519</v>
      </c>
      <c r="D830" s="14" t="s">
        <v>2953</v>
      </c>
      <c r="E830" s="17" t="s">
        <v>1293</v>
      </c>
      <c r="F830" s="18" t="s">
        <v>1078</v>
      </c>
      <c r="G830" s="18"/>
      <c r="H830" s="18" t="s">
        <v>547</v>
      </c>
      <c r="I830" s="14" t="s">
        <v>1294</v>
      </c>
      <c r="J830" s="18"/>
      <c r="K830" s="18"/>
      <c r="M830" s="20" t="str">
        <f t="shared" si="12"/>
        <v>Felis silvestris</v>
      </c>
    </row>
    <row r="831" spans="1:13" ht="15" customHeight="1" x14ac:dyDescent="0.2">
      <c r="A831" s="14" t="s">
        <v>16</v>
      </c>
      <c r="B831" s="15">
        <v>12059</v>
      </c>
      <c r="C831" s="16" t="s">
        <v>2954</v>
      </c>
      <c r="D831" s="14" t="s">
        <v>2955</v>
      </c>
      <c r="E831" s="17" t="s">
        <v>1293</v>
      </c>
      <c r="F831" s="18" t="s">
        <v>2956</v>
      </c>
      <c r="G831" s="18" t="s">
        <v>2957</v>
      </c>
      <c r="H831" s="18" t="s">
        <v>1300</v>
      </c>
      <c r="I831" s="14" t="s">
        <v>1294</v>
      </c>
      <c r="J831" s="18"/>
      <c r="K831" s="18"/>
      <c r="M831" s="20" t="str">
        <f t="shared" si="12"/>
        <v>Galemys pyrenaicus</v>
      </c>
    </row>
    <row r="832" spans="1:13" s="25" customFormat="1" ht="18.600000000000001" customHeight="1" x14ac:dyDescent="0.2">
      <c r="A832" s="15" t="s">
        <v>16</v>
      </c>
      <c r="B832" s="15">
        <v>12059</v>
      </c>
      <c r="C832" s="21" t="s">
        <v>2954</v>
      </c>
      <c r="D832" s="15" t="s">
        <v>2955</v>
      </c>
      <c r="E832" s="23" t="s">
        <v>1293</v>
      </c>
      <c r="F832" s="24" t="s">
        <v>2956</v>
      </c>
      <c r="G832" s="24" t="s">
        <v>2958</v>
      </c>
      <c r="H832" s="24" t="s">
        <v>1300</v>
      </c>
      <c r="I832" s="15" t="s">
        <v>1483</v>
      </c>
      <c r="J832" s="24" t="s">
        <v>2959</v>
      </c>
      <c r="K832" s="24"/>
      <c r="M832" s="20" t="str">
        <f t="shared" si="12"/>
        <v>Galemys pyrenaicus</v>
      </c>
    </row>
    <row r="833" spans="1:13" ht="15" customHeight="1" x14ac:dyDescent="0.2">
      <c r="A833" s="14" t="s">
        <v>16</v>
      </c>
      <c r="B833" s="15">
        <v>20073</v>
      </c>
      <c r="C833" s="16" t="s">
        <v>2960</v>
      </c>
      <c r="D833" s="14" t="s">
        <v>2961</v>
      </c>
      <c r="E833" s="17" t="s">
        <v>1293</v>
      </c>
      <c r="F833" s="18" t="s">
        <v>2962</v>
      </c>
      <c r="G833" s="18"/>
      <c r="H833" s="18" t="s">
        <v>562</v>
      </c>
      <c r="I833" s="14" t="s">
        <v>1294</v>
      </c>
      <c r="J833" s="18"/>
      <c r="K833" s="18"/>
      <c r="M833" s="20" t="str">
        <f t="shared" si="12"/>
        <v>Globicephala macrorhynchus</v>
      </c>
    </row>
    <row r="834" spans="1:13" ht="15" customHeight="1" x14ac:dyDescent="0.2">
      <c r="A834" s="14" t="s">
        <v>16</v>
      </c>
      <c r="B834" s="15">
        <v>32180</v>
      </c>
      <c r="C834" s="16" t="s">
        <v>1096</v>
      </c>
      <c r="D834" s="14" t="s">
        <v>2963</v>
      </c>
      <c r="E834" s="17" t="s">
        <v>1293</v>
      </c>
      <c r="F834" s="18" t="s">
        <v>1097</v>
      </c>
      <c r="G834" s="18" t="s">
        <v>1774</v>
      </c>
      <c r="H834" s="18" t="s">
        <v>562</v>
      </c>
      <c r="I834" s="14" t="s">
        <v>1294</v>
      </c>
      <c r="J834" s="18"/>
      <c r="K834" s="18"/>
      <c r="M834" s="20" t="str">
        <f t="shared" si="12"/>
        <v>Globicephala melas</v>
      </c>
    </row>
    <row r="835" spans="1:13" ht="15" customHeight="1" x14ac:dyDescent="0.2">
      <c r="A835" s="14" t="s">
        <v>16</v>
      </c>
      <c r="B835" s="15">
        <v>32180</v>
      </c>
      <c r="C835" s="16" t="s">
        <v>1096</v>
      </c>
      <c r="D835" s="14" t="s">
        <v>2963</v>
      </c>
      <c r="E835" s="17" t="s">
        <v>1293</v>
      </c>
      <c r="F835" s="18" t="s">
        <v>1097</v>
      </c>
      <c r="G835" s="18" t="s">
        <v>2940</v>
      </c>
      <c r="H835" s="18" t="s">
        <v>547</v>
      </c>
      <c r="I835" s="14" t="s">
        <v>1294</v>
      </c>
      <c r="J835" s="18"/>
      <c r="K835" s="18"/>
      <c r="M835" s="20" t="str">
        <f t="shared" ref="M835:M898" si="13">TRIM(C835)</f>
        <v>Globicephala melas</v>
      </c>
    </row>
    <row r="836" spans="1:13" ht="15" customHeight="1" x14ac:dyDescent="0.2">
      <c r="A836" s="14" t="s">
        <v>16</v>
      </c>
      <c r="B836" s="15">
        <v>20075</v>
      </c>
      <c r="C836" s="16" t="s">
        <v>1098</v>
      </c>
      <c r="D836" s="14" t="s">
        <v>2964</v>
      </c>
      <c r="E836" s="17" t="s">
        <v>1293</v>
      </c>
      <c r="F836" s="18" t="s">
        <v>1099</v>
      </c>
      <c r="G836" s="18"/>
      <c r="H836" s="18" t="s">
        <v>547</v>
      </c>
      <c r="I836" s="14" t="s">
        <v>1294</v>
      </c>
      <c r="J836" s="18"/>
      <c r="K836" s="18"/>
      <c r="M836" s="20" t="str">
        <f t="shared" si="13"/>
        <v>Grampus griseus</v>
      </c>
    </row>
    <row r="837" spans="1:13" ht="15" customHeight="1" x14ac:dyDescent="0.2">
      <c r="A837" s="14" t="s">
        <v>16</v>
      </c>
      <c r="B837" s="15">
        <v>20093</v>
      </c>
      <c r="C837" s="16" t="s">
        <v>1106</v>
      </c>
      <c r="D837" s="14" t="s">
        <v>2965</v>
      </c>
      <c r="E837" s="17" t="s">
        <v>1293</v>
      </c>
      <c r="F837" s="18" t="s">
        <v>1107</v>
      </c>
      <c r="G837" s="18"/>
      <c r="H837" s="18" t="s">
        <v>547</v>
      </c>
      <c r="I837" s="14" t="s">
        <v>1294</v>
      </c>
      <c r="J837" s="18"/>
      <c r="K837" s="18"/>
      <c r="M837" s="20" t="str">
        <f t="shared" si="13"/>
        <v>Hyperoodon ampullatus</v>
      </c>
    </row>
    <row r="838" spans="1:13" ht="15" customHeight="1" x14ac:dyDescent="0.2">
      <c r="A838" s="14" t="s">
        <v>16</v>
      </c>
      <c r="B838" s="15">
        <v>12154</v>
      </c>
      <c r="C838" s="16" t="s">
        <v>686</v>
      </c>
      <c r="D838" s="14" t="s">
        <v>2966</v>
      </c>
      <c r="E838" s="17" t="s">
        <v>1293</v>
      </c>
      <c r="F838" s="18" t="s">
        <v>687</v>
      </c>
      <c r="G838" s="18"/>
      <c r="H838" s="18" t="s">
        <v>547</v>
      </c>
      <c r="I838" s="14" t="s">
        <v>1294</v>
      </c>
      <c r="J838" s="18"/>
      <c r="K838" s="18"/>
      <c r="M838" s="20" t="str">
        <f t="shared" si="13"/>
        <v>Hypsugo savii</v>
      </c>
    </row>
    <row r="839" spans="1:13" s="25" customFormat="1" ht="15" customHeight="1" x14ac:dyDescent="0.2">
      <c r="A839" s="15" t="s">
        <v>16</v>
      </c>
      <c r="B839" s="15">
        <v>16235</v>
      </c>
      <c r="C839" s="21" t="s">
        <v>2967</v>
      </c>
      <c r="D839" s="22" t="s">
        <v>2968</v>
      </c>
      <c r="E839" s="23" t="s">
        <v>1293</v>
      </c>
      <c r="F839" s="24" t="s">
        <v>2969</v>
      </c>
      <c r="G839" s="24"/>
      <c r="H839" s="24" t="s">
        <v>562</v>
      </c>
      <c r="I839" s="15" t="s">
        <v>1449</v>
      </c>
      <c r="J839" s="24" t="s">
        <v>2970</v>
      </c>
      <c r="K839" s="30"/>
      <c r="M839" s="20" t="str">
        <f t="shared" si="13"/>
        <v>Iberomys (Microtus) cabrerae</v>
      </c>
    </row>
    <row r="840" spans="1:13" ht="15" customHeight="1" x14ac:dyDescent="0.2">
      <c r="A840" s="14" t="s">
        <v>16</v>
      </c>
      <c r="B840" s="15">
        <v>12169</v>
      </c>
      <c r="C840" s="16" t="s">
        <v>636</v>
      </c>
      <c r="D840" s="14" t="s">
        <v>2971</v>
      </c>
      <c r="E840" s="17" t="s">
        <v>1293</v>
      </c>
      <c r="F840" s="18" t="s">
        <v>637</v>
      </c>
      <c r="G840" s="18"/>
      <c r="H840" s="18" t="s">
        <v>562</v>
      </c>
      <c r="I840" s="14" t="s">
        <v>1294</v>
      </c>
      <c r="J840" s="18"/>
      <c r="K840" s="18"/>
      <c r="M840" s="20" t="str">
        <f t="shared" si="13"/>
        <v>Miniopterus schreibersii</v>
      </c>
    </row>
    <row r="841" spans="1:13" ht="15" customHeight="1" x14ac:dyDescent="0.2">
      <c r="A841" s="14" t="s">
        <v>16</v>
      </c>
      <c r="B841" s="15">
        <v>11767</v>
      </c>
      <c r="C841" s="16" t="s">
        <v>2972</v>
      </c>
      <c r="D841" s="14" t="s">
        <v>2973</v>
      </c>
      <c r="E841" s="17" t="s">
        <v>1293</v>
      </c>
      <c r="F841" s="18" t="s">
        <v>2974</v>
      </c>
      <c r="G841" s="18"/>
      <c r="H841" s="18" t="s">
        <v>1300</v>
      </c>
      <c r="I841" s="14" t="s">
        <v>1294</v>
      </c>
      <c r="J841" s="18"/>
      <c r="K841" s="18"/>
      <c r="M841" s="20" t="str">
        <f t="shared" si="13"/>
        <v>Monachus monachus</v>
      </c>
    </row>
    <row r="842" spans="1:13" ht="15" customHeight="1" x14ac:dyDescent="0.2">
      <c r="A842" s="14" t="s">
        <v>16</v>
      </c>
      <c r="B842" s="15">
        <v>11214</v>
      </c>
      <c r="C842" s="16" t="s">
        <v>2975</v>
      </c>
      <c r="D842" s="14" t="s">
        <v>2976</v>
      </c>
      <c r="E842" s="17" t="s">
        <v>1293</v>
      </c>
      <c r="F842" s="18" t="s">
        <v>2977</v>
      </c>
      <c r="G842" s="18"/>
      <c r="H842" s="18" t="s">
        <v>547</v>
      </c>
      <c r="I842" s="14" t="s">
        <v>1294</v>
      </c>
      <c r="J842" s="18"/>
      <c r="K842" s="18"/>
      <c r="M842" s="20" t="str">
        <f t="shared" si="13"/>
        <v>Mustela erminea</v>
      </c>
    </row>
    <row r="843" spans="1:13" ht="15" customHeight="1" x14ac:dyDescent="0.2">
      <c r="A843" s="14" t="s">
        <v>16</v>
      </c>
      <c r="B843" s="15">
        <v>11638</v>
      </c>
      <c r="C843" s="16" t="s">
        <v>2978</v>
      </c>
      <c r="D843" s="14" t="s">
        <v>2979</v>
      </c>
      <c r="E843" s="17" t="s">
        <v>1293</v>
      </c>
      <c r="F843" s="18" t="s">
        <v>2980</v>
      </c>
      <c r="G843" s="18"/>
      <c r="H843" s="18" t="s">
        <v>1300</v>
      </c>
      <c r="I843" s="14" t="s">
        <v>1294</v>
      </c>
      <c r="J843" s="18"/>
      <c r="K843" s="18"/>
      <c r="M843" s="20" t="str">
        <f t="shared" si="13"/>
        <v>Mustela lutreola</v>
      </c>
    </row>
    <row r="844" spans="1:13" ht="15" customHeight="1" x14ac:dyDescent="0.2">
      <c r="A844" s="14" t="s">
        <v>16</v>
      </c>
      <c r="B844" s="15">
        <v>10661</v>
      </c>
      <c r="C844" s="16" t="s">
        <v>2981</v>
      </c>
      <c r="D844" s="14" t="s">
        <v>2982</v>
      </c>
      <c r="E844" s="17" t="s">
        <v>1293</v>
      </c>
      <c r="F844" s="18" t="s">
        <v>2983</v>
      </c>
      <c r="G844" s="18"/>
      <c r="H844" s="18" t="s">
        <v>547</v>
      </c>
      <c r="I844" s="14" t="s">
        <v>1294</v>
      </c>
      <c r="J844" s="18"/>
      <c r="K844" s="18"/>
      <c r="M844" s="20" t="str">
        <f t="shared" si="13"/>
        <v>Myotis alcathoe (= M. mystacinus)</v>
      </c>
    </row>
    <row r="845" spans="1:13" ht="15" customHeight="1" x14ac:dyDescent="0.2">
      <c r="A845" s="14" t="s">
        <v>16</v>
      </c>
      <c r="B845" s="15">
        <v>10826</v>
      </c>
      <c r="C845" s="16" t="s">
        <v>654</v>
      </c>
      <c r="D845" s="14" t="s">
        <v>2984</v>
      </c>
      <c r="E845" s="17" t="s">
        <v>1293</v>
      </c>
      <c r="F845" s="18" t="s">
        <v>655</v>
      </c>
      <c r="G845" s="18"/>
      <c r="H845" s="18" t="s">
        <v>562</v>
      </c>
      <c r="I845" s="14" t="s">
        <v>1294</v>
      </c>
      <c r="J845" s="18"/>
      <c r="K845" s="18"/>
      <c r="M845" s="20" t="str">
        <f t="shared" si="13"/>
        <v>Myotis bechsteinii</v>
      </c>
    </row>
    <row r="846" spans="1:13" ht="15" customHeight="1" x14ac:dyDescent="0.2">
      <c r="A846" s="14" t="s">
        <v>16</v>
      </c>
      <c r="B846" s="15">
        <v>10866</v>
      </c>
      <c r="C846" s="16" t="s">
        <v>2985</v>
      </c>
      <c r="D846" s="14" t="s">
        <v>2986</v>
      </c>
      <c r="E846" s="17" t="s">
        <v>1293</v>
      </c>
      <c r="F846" s="45" t="s">
        <v>1066</v>
      </c>
      <c r="G846" s="18"/>
      <c r="H846" s="18" t="s">
        <v>562</v>
      </c>
      <c r="I846" s="14" t="s">
        <v>1294</v>
      </c>
      <c r="J846" s="18"/>
      <c r="K846" s="18"/>
      <c r="M846" s="20" t="str">
        <f t="shared" si="13"/>
        <v>Myotis blythii</v>
      </c>
    </row>
    <row r="847" spans="1:13" ht="15" customHeight="1" x14ac:dyDescent="0.2">
      <c r="A847" s="14" t="s">
        <v>16</v>
      </c>
      <c r="B847" s="15">
        <v>10958</v>
      </c>
      <c r="C847" s="16" t="s">
        <v>1067</v>
      </c>
      <c r="D847" s="14" t="s">
        <v>2987</v>
      </c>
      <c r="E847" s="17" t="s">
        <v>1293</v>
      </c>
      <c r="F847" s="45" t="s">
        <v>2988</v>
      </c>
      <c r="G847" s="18"/>
      <c r="H847" s="18" t="s">
        <v>1300</v>
      </c>
      <c r="I847" s="14" t="s">
        <v>1294</v>
      </c>
      <c r="J847" s="18"/>
      <c r="K847" s="18"/>
      <c r="M847" s="20" t="str">
        <f t="shared" si="13"/>
        <v>Myotis capaccinii</v>
      </c>
    </row>
    <row r="848" spans="1:13" ht="15" customHeight="1" x14ac:dyDescent="0.2">
      <c r="A848" s="14" t="s">
        <v>16</v>
      </c>
      <c r="B848" s="15">
        <v>11131</v>
      </c>
      <c r="C848" s="16" t="s">
        <v>1068</v>
      </c>
      <c r="D848" s="14" t="s">
        <v>2989</v>
      </c>
      <c r="E848" s="17" t="s">
        <v>1293</v>
      </c>
      <c r="F848" s="45" t="s">
        <v>2990</v>
      </c>
      <c r="G848" s="18"/>
      <c r="H848" s="18" t="s">
        <v>547</v>
      </c>
      <c r="I848" s="14" t="s">
        <v>1294</v>
      </c>
      <c r="J848" s="18"/>
      <c r="K848" s="18"/>
      <c r="M848" s="20" t="str">
        <f t="shared" si="13"/>
        <v>Myotis daubentonii</v>
      </c>
    </row>
    <row r="849" spans="1:13" ht="12.75" customHeight="1" x14ac:dyDescent="0.2">
      <c r="A849" s="14" t="s">
        <v>16</v>
      </c>
      <c r="B849" s="15">
        <v>11206</v>
      </c>
      <c r="C849" s="16" t="s">
        <v>2991</v>
      </c>
      <c r="D849" s="14" t="s">
        <v>2992</v>
      </c>
      <c r="E849" s="17" t="s">
        <v>1293</v>
      </c>
      <c r="F849" s="45" t="s">
        <v>1069</v>
      </c>
      <c r="G849" s="18"/>
      <c r="H849" s="18" t="s">
        <v>562</v>
      </c>
      <c r="I849" s="14" t="s">
        <v>1294</v>
      </c>
      <c r="J849" s="18"/>
      <c r="K849" s="18"/>
      <c r="M849" s="20" t="str">
        <f t="shared" si="13"/>
        <v>Myotis emarginatus</v>
      </c>
    </row>
    <row r="850" spans="1:13" s="25" customFormat="1" ht="40.5" customHeight="1" x14ac:dyDescent="0.25">
      <c r="A850" s="15" t="s">
        <v>16</v>
      </c>
      <c r="B850" s="15">
        <v>16226</v>
      </c>
      <c r="C850" s="21" t="s">
        <v>1070</v>
      </c>
      <c r="D850" s="15" t="s">
        <v>2993</v>
      </c>
      <c r="E850" s="24" t="s">
        <v>1293</v>
      </c>
      <c r="F850" s="24" t="s">
        <v>2994</v>
      </c>
      <c r="G850" s="24"/>
      <c r="H850" s="24" t="s">
        <v>547</v>
      </c>
      <c r="I850" s="15" t="s">
        <v>1294</v>
      </c>
      <c r="J850" s="24"/>
      <c r="K850" s="30" t="s">
        <v>2995</v>
      </c>
      <c r="M850" s="20" t="str">
        <f t="shared" si="13"/>
        <v>Myotis nattereri (=M. escalerai)</v>
      </c>
    </row>
    <row r="851" spans="1:13" s="25" customFormat="1" ht="45" customHeight="1" x14ac:dyDescent="0.25">
      <c r="A851" s="15" t="s">
        <v>16</v>
      </c>
      <c r="B851" s="15">
        <v>16227</v>
      </c>
      <c r="C851" s="21" t="s">
        <v>1070</v>
      </c>
      <c r="D851" s="38" t="s">
        <v>2996</v>
      </c>
      <c r="E851" s="24" t="s">
        <v>1293</v>
      </c>
      <c r="F851" s="24" t="s">
        <v>2997</v>
      </c>
      <c r="G851" s="24"/>
      <c r="H851" s="24" t="s">
        <v>547</v>
      </c>
      <c r="I851" s="15" t="s">
        <v>1294</v>
      </c>
      <c r="J851" s="24"/>
      <c r="K851" s="30" t="s">
        <v>2998</v>
      </c>
      <c r="M851" s="20" t="str">
        <f t="shared" si="13"/>
        <v>Myotis nattereri (=M. escalerai)</v>
      </c>
    </row>
    <row r="852" spans="1:13" ht="15" customHeight="1" x14ac:dyDescent="0.2">
      <c r="A852" s="14" t="s">
        <v>16</v>
      </c>
      <c r="B852" s="15">
        <v>11805</v>
      </c>
      <c r="C852" s="16" t="s">
        <v>2999</v>
      </c>
      <c r="D852" s="14" t="s">
        <v>3000</v>
      </c>
      <c r="E852" s="17" t="s">
        <v>1293</v>
      </c>
      <c r="F852" s="45" t="s">
        <v>3001</v>
      </c>
      <c r="G852" s="18"/>
      <c r="H852" s="18" t="s">
        <v>562</v>
      </c>
      <c r="I852" s="14" t="s">
        <v>1294</v>
      </c>
      <c r="J852" s="18"/>
      <c r="K852" s="18"/>
      <c r="M852" s="20" t="str">
        <f t="shared" si="13"/>
        <v>Myotis mystacinus</v>
      </c>
    </row>
    <row r="853" spans="1:13" ht="15" customHeight="1" x14ac:dyDescent="0.2">
      <c r="A853" s="14" t="s">
        <v>16</v>
      </c>
      <c r="B853" s="15">
        <v>12040</v>
      </c>
      <c r="C853" s="16" t="s">
        <v>3002</v>
      </c>
      <c r="D853" s="14" t="s">
        <v>3003</v>
      </c>
      <c r="E853" s="17" t="s">
        <v>1293</v>
      </c>
      <c r="F853" s="18" t="s">
        <v>3004</v>
      </c>
      <c r="G853" s="18"/>
      <c r="H853" s="18" t="s">
        <v>547</v>
      </c>
      <c r="I853" s="14" t="s">
        <v>1294</v>
      </c>
      <c r="J853" s="18"/>
      <c r="K853" s="18"/>
      <c r="M853" s="20" t="str">
        <f t="shared" si="13"/>
        <v>Myotis punicus</v>
      </c>
    </row>
    <row r="854" spans="1:13" ht="15" customHeight="1" x14ac:dyDescent="0.2">
      <c r="A854" s="14" t="s">
        <v>16</v>
      </c>
      <c r="B854" s="15">
        <v>11566</v>
      </c>
      <c r="C854" s="16" t="s">
        <v>593</v>
      </c>
      <c r="D854" s="14" t="s">
        <v>3005</v>
      </c>
      <c r="E854" s="17" t="s">
        <v>1293</v>
      </c>
      <c r="F854" s="18" t="s">
        <v>594</v>
      </c>
      <c r="G854" s="18"/>
      <c r="H854" s="18" t="s">
        <v>562</v>
      </c>
      <c r="I854" s="14" t="s">
        <v>1294</v>
      </c>
      <c r="J854" s="18"/>
      <c r="K854" s="18"/>
      <c r="M854" s="20" t="str">
        <f t="shared" si="13"/>
        <v>Nyctalus lasiopterus</v>
      </c>
    </row>
    <row r="855" spans="1:13" ht="15" customHeight="1" x14ac:dyDescent="0.2">
      <c r="A855" s="14" t="s">
        <v>16</v>
      </c>
      <c r="B855" s="15">
        <v>11573</v>
      </c>
      <c r="C855" s="16" t="s">
        <v>623</v>
      </c>
      <c r="D855" s="14" t="s">
        <v>3006</v>
      </c>
      <c r="E855" s="17" t="s">
        <v>1293</v>
      </c>
      <c r="F855" s="18" t="s">
        <v>624</v>
      </c>
      <c r="G855" s="18"/>
      <c r="H855" s="18" t="s">
        <v>547</v>
      </c>
      <c r="I855" s="14" t="s">
        <v>1294</v>
      </c>
      <c r="J855" s="18"/>
      <c r="K855" s="18"/>
      <c r="M855" s="20" t="str">
        <f t="shared" si="13"/>
        <v>Nyctalus leisleri</v>
      </c>
    </row>
    <row r="856" spans="1:13" ht="15" customHeight="1" x14ac:dyDescent="0.2">
      <c r="A856" s="14" t="s">
        <v>16</v>
      </c>
      <c r="B856" s="15">
        <v>11862</v>
      </c>
      <c r="C856" s="16" t="s">
        <v>3007</v>
      </c>
      <c r="D856" s="14" t="s">
        <v>3008</v>
      </c>
      <c r="E856" s="17" t="s">
        <v>1293</v>
      </c>
      <c r="F856" s="18" t="s">
        <v>1071</v>
      </c>
      <c r="G856" s="18"/>
      <c r="H856" s="18" t="s">
        <v>562</v>
      </c>
      <c r="I856" s="14" t="s">
        <v>1294</v>
      </c>
      <c r="J856" s="18"/>
      <c r="K856" s="18"/>
      <c r="M856" s="20" t="str">
        <f t="shared" si="13"/>
        <v>Nyctalus noctula</v>
      </c>
    </row>
    <row r="857" spans="1:13" s="27" customFormat="1" ht="15" customHeight="1" x14ac:dyDescent="0.2">
      <c r="A857" s="14" t="s">
        <v>16</v>
      </c>
      <c r="B857" s="15">
        <v>20079</v>
      </c>
      <c r="C857" s="16" t="s">
        <v>1100</v>
      </c>
      <c r="D857" s="14" t="s">
        <v>3009</v>
      </c>
      <c r="E857" s="17" t="s">
        <v>1293</v>
      </c>
      <c r="F857" s="18" t="s">
        <v>1101</v>
      </c>
      <c r="G857" s="18" t="s">
        <v>3010</v>
      </c>
      <c r="H857" s="18" t="s">
        <v>547</v>
      </c>
      <c r="I857" s="14" t="s">
        <v>1294</v>
      </c>
      <c r="J857" s="18"/>
      <c r="K857" s="18"/>
      <c r="M857" s="20" t="str">
        <f t="shared" si="13"/>
        <v>Orcinus orca</v>
      </c>
    </row>
    <row r="858" spans="1:13" ht="15" customHeight="1" x14ac:dyDescent="0.2">
      <c r="A858" s="14" t="s">
        <v>16</v>
      </c>
      <c r="B858" s="15">
        <v>20079</v>
      </c>
      <c r="C858" s="16" t="s">
        <v>1100</v>
      </c>
      <c r="D858" s="14" t="s">
        <v>3009</v>
      </c>
      <c r="E858" s="17" t="s">
        <v>1293</v>
      </c>
      <c r="F858" s="18" t="s">
        <v>1101</v>
      </c>
      <c r="G858" s="18" t="s">
        <v>3011</v>
      </c>
      <c r="H858" s="18" t="s">
        <v>562</v>
      </c>
      <c r="I858" s="14" t="s">
        <v>1294</v>
      </c>
      <c r="J858" s="18"/>
      <c r="K858" s="18"/>
      <c r="M858" s="20" t="str">
        <f t="shared" si="13"/>
        <v>Orcinus orca</v>
      </c>
    </row>
    <row r="859" spans="1:13" ht="12.75" customHeight="1" x14ac:dyDescent="0.2">
      <c r="A859" s="14" t="s">
        <v>16</v>
      </c>
      <c r="B859" s="15">
        <v>32181</v>
      </c>
      <c r="C859" s="16" t="s">
        <v>3012</v>
      </c>
      <c r="D859" s="14" t="s">
        <v>3013</v>
      </c>
      <c r="E859" s="17" t="s">
        <v>1293</v>
      </c>
      <c r="F859" s="18" t="s">
        <v>1105</v>
      </c>
      <c r="G859" s="18"/>
      <c r="H859" s="24" t="s">
        <v>1300</v>
      </c>
      <c r="I859" s="14" t="s">
        <v>1682</v>
      </c>
      <c r="J859" s="24" t="s">
        <v>1473</v>
      </c>
      <c r="K859" s="30"/>
      <c r="M859" s="20" t="str">
        <f t="shared" si="13"/>
        <v>Phocoena phocoena</v>
      </c>
    </row>
    <row r="860" spans="1:13" ht="15" customHeight="1" x14ac:dyDescent="0.2">
      <c r="A860" s="14" t="s">
        <v>16</v>
      </c>
      <c r="B860" s="15">
        <v>24217</v>
      </c>
      <c r="C860" s="16" t="s">
        <v>1092</v>
      </c>
      <c r="D860" s="14" t="s">
        <v>3014</v>
      </c>
      <c r="E860" s="17" t="s">
        <v>1293</v>
      </c>
      <c r="F860" s="18" t="s">
        <v>1093</v>
      </c>
      <c r="G860" s="18"/>
      <c r="H860" s="18" t="s">
        <v>562</v>
      </c>
      <c r="I860" s="14" t="s">
        <v>1294</v>
      </c>
      <c r="J860" s="18"/>
      <c r="K860" s="18"/>
      <c r="M860" s="20" t="str">
        <f t="shared" si="13"/>
        <v>Physeter macrocephalus</v>
      </c>
    </row>
    <row r="861" spans="1:13" ht="15" customHeight="1" x14ac:dyDescent="0.2">
      <c r="A861" s="14" t="s">
        <v>16</v>
      </c>
      <c r="B861" s="15">
        <v>11550</v>
      </c>
      <c r="C861" s="16" t="s">
        <v>583</v>
      </c>
      <c r="D861" s="14" t="s">
        <v>3015</v>
      </c>
      <c r="E861" s="17" t="s">
        <v>1293</v>
      </c>
      <c r="F861" s="24" t="s">
        <v>584</v>
      </c>
      <c r="G861" s="18"/>
      <c r="H861" s="18" t="s">
        <v>547</v>
      </c>
      <c r="I861" s="14" t="s">
        <v>1294</v>
      </c>
      <c r="J861" s="18"/>
      <c r="K861" s="18"/>
      <c r="M861" s="20" t="str">
        <f t="shared" si="13"/>
        <v>Pipistrellus kuhlii</v>
      </c>
    </row>
    <row r="862" spans="1:13" ht="15" customHeight="1" x14ac:dyDescent="0.2">
      <c r="A862" s="14" t="s">
        <v>16</v>
      </c>
      <c r="B862" s="15">
        <v>11646</v>
      </c>
      <c r="C862" s="16" t="s">
        <v>3016</v>
      </c>
      <c r="D862" s="14" t="s">
        <v>3017</v>
      </c>
      <c r="E862" s="17" t="s">
        <v>1293</v>
      </c>
      <c r="F862" s="24" t="s">
        <v>3018</v>
      </c>
      <c r="G862" s="18"/>
      <c r="H862" s="18" t="s">
        <v>547</v>
      </c>
      <c r="I862" s="14" t="s">
        <v>1294</v>
      </c>
      <c r="J862" s="18"/>
      <c r="K862" s="18"/>
      <c r="M862" s="20" t="str">
        <f t="shared" si="13"/>
        <v>Pipistrellus maderensis</v>
      </c>
    </row>
    <row r="863" spans="1:13" ht="15" customHeight="1" x14ac:dyDescent="0.2">
      <c r="A863" s="14" t="s">
        <v>16</v>
      </c>
      <c r="B863" s="15">
        <v>11814</v>
      </c>
      <c r="C863" s="16" t="s">
        <v>3019</v>
      </c>
      <c r="D863" s="14" t="s">
        <v>3020</v>
      </c>
      <c r="E863" s="17" t="s">
        <v>1293</v>
      </c>
      <c r="F863" s="29" t="s">
        <v>3021</v>
      </c>
      <c r="G863" s="18"/>
      <c r="H863" s="18" t="s">
        <v>547</v>
      </c>
      <c r="I863" s="14" t="s">
        <v>1294</v>
      </c>
      <c r="J863" s="18"/>
      <c r="K863" s="18"/>
      <c r="M863" s="20" t="str">
        <f t="shared" si="13"/>
        <v>Pipistrellus nathusii</v>
      </c>
    </row>
    <row r="864" spans="1:13" ht="15" customHeight="1" x14ac:dyDescent="0.2">
      <c r="A864" s="14" t="s">
        <v>16</v>
      </c>
      <c r="B864" s="15">
        <v>11991</v>
      </c>
      <c r="C864" s="16" t="s">
        <v>659</v>
      </c>
      <c r="D864" s="14" t="s">
        <v>3022</v>
      </c>
      <c r="E864" s="17" t="s">
        <v>1293</v>
      </c>
      <c r="F864" s="29" t="s">
        <v>660</v>
      </c>
      <c r="G864" s="18"/>
      <c r="H864" s="18" t="s">
        <v>547</v>
      </c>
      <c r="I864" s="14" t="s">
        <v>1294</v>
      </c>
      <c r="J864" s="18"/>
      <c r="K864" s="88" t="s">
        <v>3023</v>
      </c>
      <c r="M864" s="20" t="str">
        <f t="shared" si="13"/>
        <v>Pipistrellus pipistrellus</v>
      </c>
    </row>
    <row r="865" spans="1:13" ht="15" customHeight="1" x14ac:dyDescent="0.2">
      <c r="A865" s="14" t="s">
        <v>16</v>
      </c>
      <c r="B865" s="15">
        <v>12050</v>
      </c>
      <c r="C865" s="16" t="s">
        <v>3024</v>
      </c>
      <c r="D865" s="14" t="s">
        <v>3025</v>
      </c>
      <c r="E865" s="17" t="s">
        <v>1293</v>
      </c>
      <c r="F865" s="29" t="s">
        <v>604</v>
      </c>
      <c r="G865" s="18"/>
      <c r="H865" s="18" t="s">
        <v>547</v>
      </c>
      <c r="I865" s="14" t="s">
        <v>1294</v>
      </c>
      <c r="J865" s="18"/>
      <c r="K865" s="18"/>
      <c r="M865" s="20" t="str">
        <f t="shared" si="13"/>
        <v>Pipistrellus pygmaeus (antes P. pipistrellus)</v>
      </c>
    </row>
    <row r="866" spans="1:13" ht="15" customHeight="1" x14ac:dyDescent="0.2">
      <c r="A866" s="14" t="s">
        <v>16</v>
      </c>
      <c r="B866" s="15">
        <v>10715</v>
      </c>
      <c r="C866" s="16" t="s">
        <v>3026</v>
      </c>
      <c r="D866" s="14" t="s">
        <v>3027</v>
      </c>
      <c r="E866" s="17" t="s">
        <v>1293</v>
      </c>
      <c r="F866" s="29" t="s">
        <v>3028</v>
      </c>
      <c r="G866" s="18"/>
      <c r="H866" s="18" t="s">
        <v>547</v>
      </c>
      <c r="I866" s="14" t="s">
        <v>1294</v>
      </c>
      <c r="J866" s="18"/>
      <c r="K866" s="18"/>
      <c r="M866" s="20" t="str">
        <f t="shared" si="13"/>
        <v>Plecotus auritus</v>
      </c>
    </row>
    <row r="867" spans="1:13" ht="15" customHeight="1" x14ac:dyDescent="0.2">
      <c r="A867" s="14" t="s">
        <v>16</v>
      </c>
      <c r="B867" s="15">
        <v>10799</v>
      </c>
      <c r="C867" s="16" t="s">
        <v>1072</v>
      </c>
      <c r="D867" s="14" t="s">
        <v>3029</v>
      </c>
      <c r="E867" s="17" t="s">
        <v>1293</v>
      </c>
      <c r="F867" s="29" t="s">
        <v>3030</v>
      </c>
      <c r="G867" s="18"/>
      <c r="H867" s="18" t="s">
        <v>547</v>
      </c>
      <c r="I867" s="14" t="s">
        <v>1294</v>
      </c>
      <c r="J867" s="18"/>
      <c r="K867" s="18"/>
      <c r="M867" s="20" t="str">
        <f t="shared" si="13"/>
        <v>Plecotus austriacus</v>
      </c>
    </row>
    <row r="868" spans="1:13" ht="15" customHeight="1" x14ac:dyDescent="0.2">
      <c r="A868" s="14" t="s">
        <v>16</v>
      </c>
      <c r="B868" s="15">
        <v>11641</v>
      </c>
      <c r="C868" s="16" t="s">
        <v>3031</v>
      </c>
      <c r="D868" s="14" t="s">
        <v>3032</v>
      </c>
      <c r="E868" s="17" t="s">
        <v>1293</v>
      </c>
      <c r="F868" s="29" t="s">
        <v>3033</v>
      </c>
      <c r="G868" s="18"/>
      <c r="H868" s="18" t="s">
        <v>547</v>
      </c>
      <c r="I868" s="14" t="s">
        <v>1294</v>
      </c>
      <c r="J868" s="18"/>
      <c r="K868" s="18"/>
      <c r="M868" s="20" t="str">
        <f t="shared" si="13"/>
        <v>Plecotus macrobullaris</v>
      </c>
    </row>
    <row r="869" spans="1:13" ht="15" customHeight="1" x14ac:dyDescent="0.2">
      <c r="A869" s="14" t="s">
        <v>16</v>
      </c>
      <c r="B869" s="15">
        <v>12303</v>
      </c>
      <c r="C869" s="16" t="s">
        <v>3034</v>
      </c>
      <c r="D869" s="14" t="s">
        <v>3035</v>
      </c>
      <c r="E869" s="17" t="s">
        <v>1293</v>
      </c>
      <c r="F869" s="29" t="s">
        <v>3036</v>
      </c>
      <c r="G869" s="18"/>
      <c r="H869" s="18" t="s">
        <v>562</v>
      </c>
      <c r="I869" s="14" t="s">
        <v>1294</v>
      </c>
      <c r="J869" s="18"/>
      <c r="K869" s="18"/>
      <c r="M869" s="20" t="str">
        <f t="shared" si="13"/>
        <v>Plecotus teneriffae</v>
      </c>
    </row>
    <row r="870" spans="1:13" ht="15" customHeight="1" x14ac:dyDescent="0.2">
      <c r="A870" s="14" t="s">
        <v>16</v>
      </c>
      <c r="B870" s="15">
        <v>20080</v>
      </c>
      <c r="C870" s="16" t="s">
        <v>3037</v>
      </c>
      <c r="D870" s="14" t="s">
        <v>3038</v>
      </c>
      <c r="E870" s="17" t="s">
        <v>1293</v>
      </c>
      <c r="F870" s="29" t="s">
        <v>3039</v>
      </c>
      <c r="G870" s="18"/>
      <c r="H870" s="18" t="s">
        <v>547</v>
      </c>
      <c r="I870" s="14" t="s">
        <v>1294</v>
      </c>
      <c r="J870" s="18"/>
      <c r="K870" s="18"/>
      <c r="M870" s="20" t="str">
        <f t="shared" si="13"/>
        <v>Pseudorca crassidens</v>
      </c>
    </row>
    <row r="871" spans="1:13" ht="15" customHeight="1" x14ac:dyDescent="0.2">
      <c r="A871" s="14" t="s">
        <v>16</v>
      </c>
      <c r="B871" s="15">
        <v>11230</v>
      </c>
      <c r="C871" s="16" t="s">
        <v>3040</v>
      </c>
      <c r="D871" s="14" t="s">
        <v>3041</v>
      </c>
      <c r="E871" s="17" t="s">
        <v>1293</v>
      </c>
      <c r="F871" s="24" t="s">
        <v>1062</v>
      </c>
      <c r="G871" s="18"/>
      <c r="H871" s="18" t="s">
        <v>562</v>
      </c>
      <c r="I871" s="14" t="s">
        <v>1294</v>
      </c>
      <c r="J871" s="18"/>
      <c r="K871" s="18"/>
      <c r="M871" s="20" t="str">
        <f t="shared" si="13"/>
        <v>Rhinolophus euryale</v>
      </c>
    </row>
    <row r="872" spans="1:13" ht="15" customHeight="1" x14ac:dyDescent="0.2">
      <c r="A872" s="14" t="s">
        <v>16</v>
      </c>
      <c r="B872" s="15">
        <v>11264</v>
      </c>
      <c r="C872" s="16" t="s">
        <v>573</v>
      </c>
      <c r="D872" s="14" t="s">
        <v>3042</v>
      </c>
      <c r="E872" s="17" t="s">
        <v>1293</v>
      </c>
      <c r="F872" s="18" t="s">
        <v>574</v>
      </c>
      <c r="G872" s="18"/>
      <c r="H872" s="18" t="s">
        <v>562</v>
      </c>
      <c r="I872" s="14" t="s">
        <v>1294</v>
      </c>
      <c r="J872" s="18"/>
      <c r="K872" s="18"/>
      <c r="M872" s="20" t="str">
        <f t="shared" si="13"/>
        <v>Rhinolophus ferrumequinum</v>
      </c>
    </row>
    <row r="873" spans="1:13" ht="15" customHeight="1" x14ac:dyDescent="0.2">
      <c r="A873" s="14" t="s">
        <v>16</v>
      </c>
      <c r="B873" s="15">
        <v>11451</v>
      </c>
      <c r="C873" s="16" t="s">
        <v>625</v>
      </c>
      <c r="D873" s="14" t="s">
        <v>3043</v>
      </c>
      <c r="E873" s="17" t="s">
        <v>1293</v>
      </c>
      <c r="F873" s="18" t="s">
        <v>626</v>
      </c>
      <c r="G873" s="18"/>
      <c r="H873" s="18" t="s">
        <v>547</v>
      </c>
      <c r="I873" s="14" t="s">
        <v>1294</v>
      </c>
      <c r="J873" s="18"/>
      <c r="K873" s="18"/>
      <c r="M873" s="20" t="str">
        <f t="shared" si="13"/>
        <v>Rhinolophus hipposideros</v>
      </c>
    </row>
    <row r="874" spans="1:13" ht="15" customHeight="1" x14ac:dyDescent="0.2">
      <c r="A874" s="14" t="s">
        <v>16</v>
      </c>
      <c r="B874" s="15">
        <v>11702</v>
      </c>
      <c r="C874" s="16" t="s">
        <v>3044</v>
      </c>
      <c r="D874" s="14" t="s">
        <v>3045</v>
      </c>
      <c r="E874" s="17" t="s">
        <v>1293</v>
      </c>
      <c r="F874" s="18" t="s">
        <v>1063</v>
      </c>
      <c r="G874" s="18"/>
      <c r="H874" s="18" t="s">
        <v>562</v>
      </c>
      <c r="I874" s="14" t="s">
        <v>1294</v>
      </c>
      <c r="J874" s="18"/>
      <c r="K874" s="18"/>
      <c r="M874" s="20" t="str">
        <f t="shared" si="13"/>
        <v>Rhinolophus mehelyi</v>
      </c>
    </row>
    <row r="875" spans="1:13" ht="15" customHeight="1" x14ac:dyDescent="0.2">
      <c r="A875" s="14" t="s">
        <v>16</v>
      </c>
      <c r="B875" s="15">
        <v>20082</v>
      </c>
      <c r="C875" s="16" t="s">
        <v>1102</v>
      </c>
      <c r="D875" s="14" t="s">
        <v>3046</v>
      </c>
      <c r="E875" s="17" t="s">
        <v>1293</v>
      </c>
      <c r="F875" s="18" t="s">
        <v>1103</v>
      </c>
      <c r="G875" s="18"/>
      <c r="H875" s="18" t="s">
        <v>547</v>
      </c>
      <c r="I875" s="14" t="s">
        <v>1294</v>
      </c>
      <c r="J875" s="18"/>
      <c r="K875" s="18"/>
      <c r="M875" s="20" t="str">
        <f t="shared" si="13"/>
        <v>Stenella coeruleoalba</v>
      </c>
    </row>
    <row r="876" spans="1:13" ht="15" customHeight="1" x14ac:dyDescent="0.2">
      <c r="A876" s="14" t="s">
        <v>16</v>
      </c>
      <c r="B876" s="15">
        <v>20083</v>
      </c>
      <c r="C876" s="16" t="s">
        <v>3047</v>
      </c>
      <c r="D876" s="14" t="s">
        <v>3048</v>
      </c>
      <c r="E876" s="17" t="s">
        <v>1293</v>
      </c>
      <c r="F876" s="18" t="s">
        <v>3049</v>
      </c>
      <c r="G876" s="18"/>
      <c r="H876" s="18" t="s">
        <v>547</v>
      </c>
      <c r="I876" s="14" t="s">
        <v>1294</v>
      </c>
      <c r="J876" s="18"/>
      <c r="K876" s="18"/>
      <c r="M876" s="20" t="str">
        <f t="shared" si="13"/>
        <v>Stenella frontalis</v>
      </c>
    </row>
    <row r="877" spans="1:13" ht="15" customHeight="1" x14ac:dyDescent="0.2">
      <c r="A877" s="14" t="s">
        <v>16</v>
      </c>
      <c r="B877" s="15">
        <v>20085</v>
      </c>
      <c r="C877" s="16" t="s">
        <v>3050</v>
      </c>
      <c r="D877" s="14" t="s">
        <v>3051</v>
      </c>
      <c r="E877" s="17" t="s">
        <v>1293</v>
      </c>
      <c r="F877" s="18" t="s">
        <v>3052</v>
      </c>
      <c r="G877" s="18"/>
      <c r="H877" s="18" t="s">
        <v>547</v>
      </c>
      <c r="I877" s="14" t="s">
        <v>1294</v>
      </c>
      <c r="J877" s="18"/>
      <c r="K877" s="18"/>
      <c r="M877" s="20" t="str">
        <f t="shared" si="13"/>
        <v>Steno bredanensis</v>
      </c>
    </row>
    <row r="878" spans="1:13" ht="15" customHeight="1" x14ac:dyDescent="0.2">
      <c r="A878" s="14" t="s">
        <v>16</v>
      </c>
      <c r="B878" s="15">
        <v>12305</v>
      </c>
      <c r="C878" s="16" t="s">
        <v>1073</v>
      </c>
      <c r="D878" s="14" t="s">
        <v>3053</v>
      </c>
      <c r="E878" s="17" t="s">
        <v>1293</v>
      </c>
      <c r="F878" s="18" t="s">
        <v>1074</v>
      </c>
      <c r="G878" s="18"/>
      <c r="H878" s="18" t="s">
        <v>547</v>
      </c>
      <c r="I878" s="14" t="s">
        <v>1294</v>
      </c>
      <c r="J878" s="18"/>
      <c r="K878" s="18"/>
      <c r="M878" s="20" t="str">
        <f t="shared" si="13"/>
        <v>Tadarida teniotis</v>
      </c>
    </row>
    <row r="879" spans="1:13" ht="15" customHeight="1" x14ac:dyDescent="0.2">
      <c r="A879" s="14" t="s">
        <v>16</v>
      </c>
      <c r="B879" s="15">
        <v>20087</v>
      </c>
      <c r="C879" s="16" t="s">
        <v>3054</v>
      </c>
      <c r="D879" s="14" t="s">
        <v>3055</v>
      </c>
      <c r="E879" s="17" t="s">
        <v>1293</v>
      </c>
      <c r="F879" s="18" t="s">
        <v>1104</v>
      </c>
      <c r="G879" s="18"/>
      <c r="H879" s="18" t="s">
        <v>562</v>
      </c>
      <c r="I879" s="14" t="s">
        <v>1294</v>
      </c>
      <c r="J879" s="18"/>
      <c r="K879" s="18"/>
      <c r="M879" s="20" t="str">
        <f t="shared" si="13"/>
        <v>Tursiops truncatus</v>
      </c>
    </row>
    <row r="880" spans="1:13" ht="15" customHeight="1" x14ac:dyDescent="0.2">
      <c r="A880" s="14" t="s">
        <v>16</v>
      </c>
      <c r="B880" s="15">
        <v>10755</v>
      </c>
      <c r="C880" s="16" t="s">
        <v>3056</v>
      </c>
      <c r="D880" s="14" t="s">
        <v>3057</v>
      </c>
      <c r="E880" s="17" t="s">
        <v>1293</v>
      </c>
      <c r="F880" s="18" t="s">
        <v>3058</v>
      </c>
      <c r="G880" s="18"/>
      <c r="H880" s="18" t="s">
        <v>1300</v>
      </c>
      <c r="I880" s="14" t="s">
        <v>1294</v>
      </c>
      <c r="J880" s="18"/>
      <c r="K880" s="18"/>
      <c r="M880" s="20" t="str">
        <f t="shared" si="13"/>
        <v>Ursus arctos</v>
      </c>
    </row>
    <row r="881" spans="1:13" ht="15" customHeight="1" x14ac:dyDescent="0.2">
      <c r="A881" s="14" t="s">
        <v>16</v>
      </c>
      <c r="B881" s="15">
        <v>20099</v>
      </c>
      <c r="C881" s="16" t="s">
        <v>1114</v>
      </c>
      <c r="D881" s="14" t="s">
        <v>3059</v>
      </c>
      <c r="E881" s="17" t="s">
        <v>1293</v>
      </c>
      <c r="F881" s="18" t="s">
        <v>3060</v>
      </c>
      <c r="G881" s="18"/>
      <c r="H881" s="18" t="s">
        <v>562</v>
      </c>
      <c r="I881" s="14" t="s">
        <v>1449</v>
      </c>
      <c r="J881" s="18" t="s">
        <v>2121</v>
      </c>
      <c r="K881" s="35"/>
      <c r="M881" s="20" t="str">
        <f t="shared" si="13"/>
        <v>Ziphius cavirostris</v>
      </c>
    </row>
    <row r="882" spans="1:13" ht="15" customHeight="1" x14ac:dyDescent="0.2">
      <c r="A882" s="14" t="s">
        <v>3061</v>
      </c>
      <c r="B882" s="15">
        <v>10752</v>
      </c>
      <c r="C882" s="16" t="s">
        <v>131</v>
      </c>
      <c r="D882" s="15" t="s">
        <v>3062</v>
      </c>
      <c r="E882" s="17" t="s">
        <v>1293</v>
      </c>
      <c r="F882" s="18" t="s">
        <v>3063</v>
      </c>
      <c r="G882" s="18"/>
      <c r="H882" s="18" t="s">
        <v>547</v>
      </c>
      <c r="I882" s="14" t="s">
        <v>1294</v>
      </c>
      <c r="J882" s="18"/>
      <c r="K882" s="18"/>
      <c r="M882" s="20" t="str">
        <f t="shared" si="13"/>
        <v>Chondrostoma arcasii</v>
      </c>
    </row>
    <row r="883" spans="1:13" ht="15" customHeight="1" x14ac:dyDescent="0.2">
      <c r="A883" s="14" t="s">
        <v>3061</v>
      </c>
      <c r="B883" s="15">
        <v>15035</v>
      </c>
      <c r="C883" s="16" t="s">
        <v>3064</v>
      </c>
      <c r="D883" s="15" t="s">
        <v>3065</v>
      </c>
      <c r="E883" s="17" t="s">
        <v>1293</v>
      </c>
      <c r="F883" s="18" t="s">
        <v>1141</v>
      </c>
      <c r="G883" s="18"/>
      <c r="H883" s="18" t="s">
        <v>1300</v>
      </c>
      <c r="I883" s="14" t="s">
        <v>1294</v>
      </c>
      <c r="J883" s="18"/>
      <c r="K883" s="18"/>
      <c r="M883" s="20" t="str">
        <f t="shared" si="13"/>
        <v>Acipenser sturio</v>
      </c>
    </row>
    <row r="884" spans="1:13" s="25" customFormat="1" ht="15" customHeight="1" x14ac:dyDescent="0.25">
      <c r="A884" s="15" t="s">
        <v>3061</v>
      </c>
      <c r="B884" s="31">
        <v>34255</v>
      </c>
      <c r="C884" s="28" t="s">
        <v>3066</v>
      </c>
      <c r="D884" s="28" t="s">
        <v>3067</v>
      </c>
      <c r="E884" s="63" t="s">
        <v>1293</v>
      </c>
      <c r="F884" s="32" t="s">
        <v>3068</v>
      </c>
      <c r="G884" s="32" t="s">
        <v>1774</v>
      </c>
      <c r="H884" s="24" t="s">
        <v>547</v>
      </c>
      <c r="I884" s="15" t="s">
        <v>1483</v>
      </c>
      <c r="J884" s="24"/>
      <c r="K884" s="24"/>
      <c r="M884" s="20" t="str">
        <f t="shared" si="13"/>
        <v>Aetomylaeus bovinus (É. Geoffroy Saint-Hilaire, 1817)</v>
      </c>
    </row>
    <row r="885" spans="1:13" s="25" customFormat="1" ht="16.5" customHeight="1" x14ac:dyDescent="0.2">
      <c r="A885" s="15" t="s">
        <v>3061</v>
      </c>
      <c r="B885" s="15">
        <v>201579</v>
      </c>
      <c r="C885" s="89" t="s">
        <v>3069</v>
      </c>
      <c r="D885" s="30" t="s">
        <v>3070</v>
      </c>
      <c r="E885" s="23" t="s">
        <v>3071</v>
      </c>
      <c r="F885" s="24"/>
      <c r="G885" s="24"/>
      <c r="H885" s="24" t="s">
        <v>547</v>
      </c>
      <c r="I885" s="15" t="s">
        <v>1294</v>
      </c>
      <c r="J885" s="24"/>
      <c r="K885" s="24"/>
      <c r="M885" s="20" t="str">
        <f t="shared" si="13"/>
        <v>(6) Alopiidae</v>
      </c>
    </row>
    <row r="886" spans="1:13" s="25" customFormat="1" ht="15" customHeight="1" x14ac:dyDescent="0.2">
      <c r="A886" s="15" t="s">
        <v>3061</v>
      </c>
      <c r="B886" s="15">
        <v>11454</v>
      </c>
      <c r="C886" s="21" t="s">
        <v>3072</v>
      </c>
      <c r="D886" s="15" t="s">
        <v>3073</v>
      </c>
      <c r="E886" s="23" t="s">
        <v>1293</v>
      </c>
      <c r="F886" s="24" t="s">
        <v>1142</v>
      </c>
      <c r="G886" s="24"/>
      <c r="H886" s="24" t="s">
        <v>1300</v>
      </c>
      <c r="I886" s="15" t="s">
        <v>1294</v>
      </c>
      <c r="J886" s="24"/>
      <c r="K886" s="24"/>
      <c r="M886" s="20" t="str">
        <f t="shared" si="13"/>
        <v>Anaecypris hispanica</v>
      </c>
    </row>
    <row r="887" spans="1:13" s="25" customFormat="1" ht="12.75" customHeight="1" x14ac:dyDescent="0.2">
      <c r="A887" s="15" t="s">
        <v>3061</v>
      </c>
      <c r="B887" s="15">
        <v>10807</v>
      </c>
      <c r="C887" s="21" t="s">
        <v>3074</v>
      </c>
      <c r="D887" s="15" t="s">
        <v>3075</v>
      </c>
      <c r="E887" s="23" t="s">
        <v>1293</v>
      </c>
      <c r="F887" s="24" t="s">
        <v>1145</v>
      </c>
      <c r="G887" s="24"/>
      <c r="H887" s="24" t="s">
        <v>1300</v>
      </c>
      <c r="I887" s="15" t="s">
        <v>1294</v>
      </c>
      <c r="J887" s="24"/>
      <c r="K887" s="24"/>
      <c r="M887" s="20" t="str">
        <f t="shared" si="13"/>
        <v>Aphanius baeticus</v>
      </c>
    </row>
    <row r="888" spans="1:13" s="25" customFormat="1" ht="15" customHeight="1" x14ac:dyDescent="0.2">
      <c r="A888" s="15" t="s">
        <v>3061</v>
      </c>
      <c r="B888" s="15">
        <v>11495</v>
      </c>
      <c r="C888" s="21" t="s">
        <v>3076</v>
      </c>
      <c r="D888" s="15" t="s">
        <v>3077</v>
      </c>
      <c r="E888" s="23" t="s">
        <v>1293</v>
      </c>
      <c r="F888" s="24" t="s">
        <v>1146</v>
      </c>
      <c r="G888" s="24"/>
      <c r="H888" s="24" t="s">
        <v>1300</v>
      </c>
      <c r="I888" s="15" t="s">
        <v>1294</v>
      </c>
      <c r="J888" s="24"/>
      <c r="K888" s="24"/>
      <c r="M888" s="20" t="str">
        <f t="shared" si="13"/>
        <v>Aphanius iberus</v>
      </c>
    </row>
    <row r="889" spans="1:13" s="25" customFormat="1" ht="15" customHeight="1" x14ac:dyDescent="0.2">
      <c r="A889" s="15" t="s">
        <v>3061</v>
      </c>
      <c r="B889" s="31">
        <v>95551</v>
      </c>
      <c r="C889" s="28" t="s">
        <v>3078</v>
      </c>
      <c r="D889" s="62" t="s">
        <v>3079</v>
      </c>
      <c r="E889" s="23" t="s">
        <v>1293</v>
      </c>
      <c r="F889" s="32" t="s">
        <v>3080</v>
      </c>
      <c r="G889" s="32" t="s">
        <v>1774</v>
      </c>
      <c r="H889" s="24" t="s">
        <v>547</v>
      </c>
      <c r="I889" s="15" t="s">
        <v>1483</v>
      </c>
      <c r="J889" s="24"/>
      <c r="K889" s="24"/>
      <c r="M889" s="20" t="str">
        <f t="shared" si="13"/>
        <v>Bathytoshia lata (Garman, 1880)</v>
      </c>
    </row>
    <row r="890" spans="1:13" s="25" customFormat="1" ht="15" customHeight="1" x14ac:dyDescent="0.2">
      <c r="A890" s="15" t="s">
        <v>3061</v>
      </c>
      <c r="B890" s="15">
        <v>15999</v>
      </c>
      <c r="C890" s="21" t="s">
        <v>1120</v>
      </c>
      <c r="D890" s="15" t="s">
        <v>3081</v>
      </c>
      <c r="E890" s="23" t="s">
        <v>1293</v>
      </c>
      <c r="F890" s="24" t="s">
        <v>1121</v>
      </c>
      <c r="G890" s="24" t="s">
        <v>3082</v>
      </c>
      <c r="H890" s="24" t="s">
        <v>547</v>
      </c>
      <c r="I890" s="15" t="s">
        <v>1483</v>
      </c>
      <c r="J890" s="24" t="s">
        <v>3083</v>
      </c>
      <c r="K890" s="24"/>
      <c r="M890" s="20" t="str">
        <f t="shared" si="13"/>
        <v>Carcharias taurus</v>
      </c>
    </row>
    <row r="891" spans="1:13" s="25" customFormat="1" ht="15" customHeight="1" x14ac:dyDescent="0.2">
      <c r="A891" s="15" t="s">
        <v>3061</v>
      </c>
      <c r="B891" s="15">
        <v>15994</v>
      </c>
      <c r="C891" s="21" t="s">
        <v>3084</v>
      </c>
      <c r="D891" s="15" t="s">
        <v>3085</v>
      </c>
      <c r="E891" s="23" t="s">
        <v>1293</v>
      </c>
      <c r="F891" s="24" t="s">
        <v>1116</v>
      </c>
      <c r="G891" s="24" t="s">
        <v>1774</v>
      </c>
      <c r="H891" s="24" t="s">
        <v>547</v>
      </c>
      <c r="I891" s="15" t="s">
        <v>1294</v>
      </c>
      <c r="J891" s="24"/>
      <c r="K891" s="24"/>
      <c r="M891" s="20" t="str">
        <f t="shared" si="13"/>
        <v>Carcharodon carcharias</v>
      </c>
    </row>
    <row r="892" spans="1:13" ht="15" customHeight="1" x14ac:dyDescent="0.2">
      <c r="A892" s="14" t="s">
        <v>3061</v>
      </c>
      <c r="B892" s="15">
        <v>15993</v>
      </c>
      <c r="C892" s="16" t="s">
        <v>3086</v>
      </c>
      <c r="D892" s="15" t="s">
        <v>3087</v>
      </c>
      <c r="E892" s="17" t="s">
        <v>1293</v>
      </c>
      <c r="F892" s="18" t="s">
        <v>1117</v>
      </c>
      <c r="G892" s="18" t="s">
        <v>3088</v>
      </c>
      <c r="H892" s="18" t="s">
        <v>547</v>
      </c>
      <c r="I892" s="14" t="s">
        <v>1294</v>
      </c>
      <c r="J892" s="18"/>
      <c r="K892" s="18"/>
      <c r="M892" s="20" t="str">
        <f t="shared" si="13"/>
        <v>Cetorhinus maximus</v>
      </c>
    </row>
    <row r="893" spans="1:13" ht="15" customHeight="1" x14ac:dyDescent="0.2">
      <c r="A893" s="14" t="s">
        <v>3061</v>
      </c>
      <c r="B893" s="15">
        <v>15932</v>
      </c>
      <c r="C893" s="16" t="s">
        <v>3089</v>
      </c>
      <c r="D893" s="15" t="s">
        <v>3090</v>
      </c>
      <c r="E893" s="17" t="s">
        <v>1293</v>
      </c>
      <c r="F893" s="18" t="s">
        <v>3091</v>
      </c>
      <c r="G893" s="18"/>
      <c r="H893" s="18" t="s">
        <v>562</v>
      </c>
      <c r="I893" s="14" t="s">
        <v>1294</v>
      </c>
      <c r="J893" s="18"/>
      <c r="K893" s="18"/>
      <c r="M893" s="20" t="str">
        <f t="shared" si="13"/>
        <v>Chilomycterus atringa</v>
      </c>
    </row>
    <row r="894" spans="1:13" ht="15" customHeight="1" x14ac:dyDescent="0.2">
      <c r="A894" s="14" t="s">
        <v>3061</v>
      </c>
      <c r="B894" s="15">
        <v>10795</v>
      </c>
      <c r="C894" s="16" t="s">
        <v>3092</v>
      </c>
      <c r="D894" s="15" t="s">
        <v>3093</v>
      </c>
      <c r="E894" s="17" t="s">
        <v>1293</v>
      </c>
      <c r="F894" s="18" t="s">
        <v>3094</v>
      </c>
      <c r="G894" s="18"/>
      <c r="H894" s="18" t="s">
        <v>1300</v>
      </c>
      <c r="I894" s="14" t="s">
        <v>1294</v>
      </c>
      <c r="J894" s="18"/>
      <c r="K894" s="18"/>
      <c r="M894" s="20" t="str">
        <f t="shared" si="13"/>
        <v>Cottus aturi (= C. gobio)</v>
      </c>
    </row>
    <row r="895" spans="1:13" ht="14.25" customHeight="1" x14ac:dyDescent="0.2">
      <c r="A895" s="14" t="s">
        <v>3061</v>
      </c>
      <c r="B895" s="15">
        <v>11471</v>
      </c>
      <c r="C895" s="16" t="s">
        <v>3095</v>
      </c>
      <c r="D895" s="15" t="s">
        <v>3096</v>
      </c>
      <c r="E895" s="17" t="s">
        <v>1293</v>
      </c>
      <c r="F895" s="18" t="s">
        <v>3097</v>
      </c>
      <c r="G895" s="18"/>
      <c r="H895" s="18" t="s">
        <v>1300</v>
      </c>
      <c r="I895" s="14" t="s">
        <v>1294</v>
      </c>
      <c r="J895" s="18"/>
      <c r="K895" s="18"/>
      <c r="M895" s="20" t="str">
        <f t="shared" si="13"/>
        <v>Cottus hispaniolensis (= C. gobio)</v>
      </c>
    </row>
    <row r="896" spans="1:13" s="25" customFormat="1" ht="14.45" customHeight="1" x14ac:dyDescent="0.25">
      <c r="A896" s="15" t="s">
        <v>3061</v>
      </c>
      <c r="B896" s="31">
        <v>16003</v>
      </c>
      <c r="C896" s="28" t="s">
        <v>3098</v>
      </c>
      <c r="D896" s="28" t="s">
        <v>3099</v>
      </c>
      <c r="E896" s="18" t="s">
        <v>1293</v>
      </c>
      <c r="F896" s="32" t="s">
        <v>3100</v>
      </c>
      <c r="G896" s="32" t="s">
        <v>1774</v>
      </c>
      <c r="H896" s="24" t="s">
        <v>547</v>
      </c>
      <c r="I896" s="15" t="s">
        <v>1483</v>
      </c>
      <c r="J896" s="24"/>
      <c r="K896" s="24"/>
      <c r="M896" s="20" t="str">
        <f t="shared" si="13"/>
        <v>Dasyatis pastinaca (Linnaeus, 1758)</v>
      </c>
    </row>
    <row r="897" spans="1:13" ht="16.149999999999999" customHeight="1" x14ac:dyDescent="0.2">
      <c r="A897" s="14" t="s">
        <v>3061</v>
      </c>
      <c r="B897" s="15">
        <v>16020</v>
      </c>
      <c r="C897" s="16" t="s">
        <v>1124</v>
      </c>
      <c r="D897" s="14" t="s">
        <v>3101</v>
      </c>
      <c r="E897" s="17" t="s">
        <v>1293</v>
      </c>
      <c r="F897" s="18" t="s">
        <v>1125</v>
      </c>
      <c r="G897" s="18" t="s">
        <v>1774</v>
      </c>
      <c r="H897" s="18" t="s">
        <v>547</v>
      </c>
      <c r="I897" s="14" t="s">
        <v>2059</v>
      </c>
      <c r="J897" s="18"/>
      <c r="K897" s="18"/>
      <c r="M897" s="20" t="str">
        <f t="shared" si="13"/>
        <v>Dipturus batis</v>
      </c>
    </row>
    <row r="898" spans="1:13" ht="15" customHeight="1" x14ac:dyDescent="0.2">
      <c r="A898" s="14" t="s">
        <v>3061</v>
      </c>
      <c r="B898" s="15">
        <v>15982</v>
      </c>
      <c r="C898" s="16" t="s">
        <v>3102</v>
      </c>
      <c r="D898" s="14" t="s">
        <v>3103</v>
      </c>
      <c r="E898" s="17" t="s">
        <v>1293</v>
      </c>
      <c r="F898" s="18" t="s">
        <v>3104</v>
      </c>
      <c r="G898" s="18" t="s">
        <v>1774</v>
      </c>
      <c r="H898" s="18" t="s">
        <v>547</v>
      </c>
      <c r="I898" s="14" t="s">
        <v>1411</v>
      </c>
      <c r="J898" s="18"/>
      <c r="K898" s="18"/>
      <c r="M898" s="20" t="str">
        <f t="shared" si="13"/>
        <v>Galeorhinus galeus</v>
      </c>
    </row>
    <row r="899" spans="1:13" ht="15" customHeight="1" x14ac:dyDescent="0.2">
      <c r="A899" s="14" t="s">
        <v>3061</v>
      </c>
      <c r="B899" s="15">
        <v>16007</v>
      </c>
      <c r="C899" s="16" t="s">
        <v>1128</v>
      </c>
      <c r="D899" s="14" t="s">
        <v>3105</v>
      </c>
      <c r="E899" s="17" t="s">
        <v>1293</v>
      </c>
      <c r="F899" s="18" t="s">
        <v>1129</v>
      </c>
      <c r="G899" s="18" t="s">
        <v>1774</v>
      </c>
      <c r="H899" s="18" t="s">
        <v>547</v>
      </c>
      <c r="I899" s="14" t="s">
        <v>2059</v>
      </c>
      <c r="J899" s="18"/>
      <c r="K899" s="18"/>
      <c r="M899" s="20" t="str">
        <f t="shared" ref="M899:M962" si="14">TRIM(C899)</f>
        <v>Gymnura altavela</v>
      </c>
    </row>
    <row r="900" spans="1:13" ht="15" customHeight="1" x14ac:dyDescent="0.2">
      <c r="A900" s="14" t="s">
        <v>3061</v>
      </c>
      <c r="B900" s="15">
        <v>15916</v>
      </c>
      <c r="C900" s="16" t="s">
        <v>3106</v>
      </c>
      <c r="D900" s="15" t="s">
        <v>3107</v>
      </c>
      <c r="E900" s="17" t="s">
        <v>1293</v>
      </c>
      <c r="F900" s="18" t="s">
        <v>1119</v>
      </c>
      <c r="G900" s="18" t="s">
        <v>3088</v>
      </c>
      <c r="H900" s="18" t="s">
        <v>547</v>
      </c>
      <c r="I900" s="14" t="s">
        <v>1294</v>
      </c>
      <c r="J900" s="18"/>
      <c r="K900" s="18"/>
      <c r="M900" s="20" t="str">
        <f t="shared" si="14"/>
        <v>Hippocampus guttulatus (= H. ramulosus)</v>
      </c>
    </row>
    <row r="901" spans="1:13" ht="15" customHeight="1" x14ac:dyDescent="0.2">
      <c r="A901" s="14" t="s">
        <v>3061</v>
      </c>
      <c r="B901" s="15">
        <v>15917</v>
      </c>
      <c r="C901" s="16" t="s">
        <v>3108</v>
      </c>
      <c r="D901" s="14" t="s">
        <v>3109</v>
      </c>
      <c r="E901" s="17" t="s">
        <v>1293</v>
      </c>
      <c r="F901" s="18" t="s">
        <v>1119</v>
      </c>
      <c r="G901" s="18" t="s">
        <v>3088</v>
      </c>
      <c r="H901" s="18" t="s">
        <v>547</v>
      </c>
      <c r="I901" s="14" t="s">
        <v>1294</v>
      </c>
      <c r="J901" s="18"/>
      <c r="K901" s="18"/>
      <c r="M901" s="20" t="str">
        <f t="shared" si="14"/>
        <v>Hippocampus hippocampus</v>
      </c>
    </row>
    <row r="902" spans="1:13" ht="15" customHeight="1" x14ac:dyDescent="0.2">
      <c r="A902" s="14" t="s">
        <v>3061</v>
      </c>
      <c r="B902" s="15">
        <v>15995</v>
      </c>
      <c r="C902" s="16" t="s">
        <v>3110</v>
      </c>
      <c r="D902" s="14" t="s">
        <v>3111</v>
      </c>
      <c r="E902" s="17" t="s">
        <v>1293</v>
      </c>
      <c r="F902" s="18" t="s">
        <v>3112</v>
      </c>
      <c r="G902" s="18" t="s">
        <v>1774</v>
      </c>
      <c r="H902" s="18" t="s">
        <v>547</v>
      </c>
      <c r="I902" s="14" t="s">
        <v>1411</v>
      </c>
      <c r="J902" s="18"/>
      <c r="K902" s="18"/>
      <c r="M902" s="20" t="str">
        <f t="shared" si="14"/>
        <v>Isurus oxyrinchus</v>
      </c>
    </row>
    <row r="903" spans="1:13" ht="15" customHeight="1" x14ac:dyDescent="0.2">
      <c r="A903" s="14" t="s">
        <v>3061</v>
      </c>
      <c r="B903" s="15">
        <v>15997</v>
      </c>
      <c r="C903" s="16" t="s">
        <v>3113</v>
      </c>
      <c r="D903" s="14" t="s">
        <v>3114</v>
      </c>
      <c r="E903" s="17" t="s">
        <v>1293</v>
      </c>
      <c r="F903" s="18" t="s">
        <v>3115</v>
      </c>
      <c r="G903" s="18" t="s">
        <v>1774</v>
      </c>
      <c r="H903" s="18" t="s">
        <v>547</v>
      </c>
      <c r="I903" s="14" t="s">
        <v>1411</v>
      </c>
      <c r="J903" s="18"/>
      <c r="K903" s="18"/>
      <c r="M903" s="20" t="str">
        <f t="shared" si="14"/>
        <v>Lamna nasus</v>
      </c>
    </row>
    <row r="904" spans="1:13" ht="15" customHeight="1" x14ac:dyDescent="0.2">
      <c r="A904" s="14" t="s">
        <v>3061</v>
      </c>
      <c r="B904" s="15">
        <v>11997</v>
      </c>
      <c r="C904" s="16" t="s">
        <v>3116</v>
      </c>
      <c r="D904" s="14" t="s">
        <v>3117</v>
      </c>
      <c r="E904" s="17" t="s">
        <v>1293</v>
      </c>
      <c r="F904" s="18" t="s">
        <v>3118</v>
      </c>
      <c r="G904" s="18"/>
      <c r="H904" s="18" t="s">
        <v>562</v>
      </c>
      <c r="I904" s="14" t="s">
        <v>1294</v>
      </c>
      <c r="J904" s="18"/>
      <c r="K904" s="18"/>
      <c r="M904" s="20" t="str">
        <f t="shared" si="14"/>
        <v>Lampetra planeri</v>
      </c>
    </row>
    <row r="905" spans="1:13" ht="15" customHeight="1" x14ac:dyDescent="0.2">
      <c r="A905" s="14" t="s">
        <v>3061</v>
      </c>
      <c r="B905" s="15">
        <v>16023</v>
      </c>
      <c r="C905" s="16" t="s">
        <v>3119</v>
      </c>
      <c r="D905" s="14" t="s">
        <v>3120</v>
      </c>
      <c r="E905" s="17" t="s">
        <v>1293</v>
      </c>
      <c r="F905" s="18" t="s">
        <v>3121</v>
      </c>
      <c r="G905" s="18" t="s">
        <v>1774</v>
      </c>
      <c r="H905" s="18" t="s">
        <v>547</v>
      </c>
      <c r="I905" s="14" t="s">
        <v>1411</v>
      </c>
      <c r="J905" s="18"/>
      <c r="K905" s="18"/>
      <c r="M905" s="20" t="str">
        <f t="shared" si="14"/>
        <v>Leucoraja circularis</v>
      </c>
    </row>
    <row r="906" spans="1:13" ht="15" customHeight="1" x14ac:dyDescent="0.2">
      <c r="A906" s="14" t="s">
        <v>3061</v>
      </c>
      <c r="B906" s="15">
        <v>24250</v>
      </c>
      <c r="C906" s="16" t="s">
        <v>3122</v>
      </c>
      <c r="D906" s="14" t="s">
        <v>3123</v>
      </c>
      <c r="E906" s="17" t="s">
        <v>1293</v>
      </c>
      <c r="F906" s="18" t="s">
        <v>3124</v>
      </c>
      <c r="G906" s="18" t="s">
        <v>1774</v>
      </c>
      <c r="H906" s="18" t="s">
        <v>547</v>
      </c>
      <c r="I906" s="14" t="s">
        <v>1411</v>
      </c>
      <c r="J906" s="18"/>
      <c r="K906" s="18"/>
      <c r="M906" s="20" t="str">
        <f t="shared" si="14"/>
        <v>Leucoraja melitensis</v>
      </c>
    </row>
    <row r="907" spans="1:13" ht="15" customHeight="1" x14ac:dyDescent="0.2">
      <c r="A907" s="14" t="s">
        <v>3061</v>
      </c>
      <c r="B907" s="15">
        <v>16010</v>
      </c>
      <c r="C907" s="16" t="s">
        <v>3125</v>
      </c>
      <c r="D907" s="14" t="s">
        <v>3126</v>
      </c>
      <c r="E907" s="17" t="s">
        <v>1293</v>
      </c>
      <c r="F907" s="18" t="s">
        <v>1118</v>
      </c>
      <c r="G907" s="18" t="s">
        <v>1774</v>
      </c>
      <c r="H907" s="18" t="s">
        <v>547</v>
      </c>
      <c r="I907" s="14" t="s">
        <v>1294</v>
      </c>
      <c r="J907" s="18"/>
      <c r="K907" s="18"/>
      <c r="M907" s="20" t="str">
        <f t="shared" si="14"/>
        <v>Mobula mobular</v>
      </c>
    </row>
    <row r="908" spans="1:13" ht="15" customHeight="1" x14ac:dyDescent="0.2">
      <c r="A908" s="14" t="s">
        <v>3061</v>
      </c>
      <c r="B908" s="15">
        <v>16000</v>
      </c>
      <c r="C908" s="16" t="s">
        <v>1122</v>
      </c>
      <c r="D908" s="14" t="s">
        <v>3127</v>
      </c>
      <c r="E908" s="17" t="s">
        <v>1293</v>
      </c>
      <c r="F908" s="18" t="s">
        <v>1123</v>
      </c>
      <c r="G908" s="18" t="s">
        <v>1774</v>
      </c>
      <c r="H908" s="18" t="s">
        <v>547</v>
      </c>
      <c r="I908" s="14" t="s">
        <v>2059</v>
      </c>
      <c r="J908" s="18"/>
      <c r="K908" s="18"/>
      <c r="M908" s="20" t="str">
        <f t="shared" si="14"/>
        <v>Odontaspis ferox</v>
      </c>
    </row>
    <row r="909" spans="1:13" ht="15" customHeight="1" x14ac:dyDescent="0.2">
      <c r="A909" s="14" t="s">
        <v>3061</v>
      </c>
      <c r="B909" s="15">
        <v>16060</v>
      </c>
      <c r="C909" s="16" t="s">
        <v>1134</v>
      </c>
      <c r="D909" s="14" t="s">
        <v>3128</v>
      </c>
      <c r="E909" s="17" t="s">
        <v>1293</v>
      </c>
      <c r="F909" s="18" t="s">
        <v>1135</v>
      </c>
      <c r="G909" s="18" t="s">
        <v>1774</v>
      </c>
      <c r="H909" s="18" t="s">
        <v>547</v>
      </c>
      <c r="I909" s="14" t="s">
        <v>2059</v>
      </c>
      <c r="J909" s="18"/>
      <c r="K909" s="18"/>
      <c r="M909" s="20" t="str">
        <f t="shared" si="14"/>
        <v>Oxynotus centrina</v>
      </c>
    </row>
    <row r="910" spans="1:13" ht="15" customHeight="1" x14ac:dyDescent="0.2">
      <c r="A910" s="14" t="s">
        <v>3061</v>
      </c>
      <c r="B910" s="15">
        <v>10765</v>
      </c>
      <c r="C910" s="16" t="s">
        <v>3129</v>
      </c>
      <c r="D910" s="14" t="s">
        <v>3130</v>
      </c>
      <c r="E910" s="17" t="s">
        <v>1293</v>
      </c>
      <c r="F910" s="18" t="s">
        <v>3131</v>
      </c>
      <c r="G910" s="18"/>
      <c r="H910" s="18" t="s">
        <v>1300</v>
      </c>
      <c r="I910" s="14" t="s">
        <v>1294</v>
      </c>
      <c r="J910" s="18"/>
      <c r="K910" s="18"/>
      <c r="M910" s="20" t="str">
        <f t="shared" si="14"/>
        <v>Parachondrostoma arrigonis (= Chondrostoma arrigonis)</v>
      </c>
    </row>
    <row r="911" spans="1:13" ht="15" customHeight="1" x14ac:dyDescent="0.2">
      <c r="A911" s="14" t="s">
        <v>3061</v>
      </c>
      <c r="B911" s="15">
        <v>11673</v>
      </c>
      <c r="C911" s="16" t="s">
        <v>3132</v>
      </c>
      <c r="D911" s="14" t="s">
        <v>3133</v>
      </c>
      <c r="E911" s="17" t="s">
        <v>1293</v>
      </c>
      <c r="F911" s="18" t="s">
        <v>1115</v>
      </c>
      <c r="G911" s="18" t="s">
        <v>3134</v>
      </c>
      <c r="H911" s="18" t="s">
        <v>1300</v>
      </c>
      <c r="I911" s="14" t="s">
        <v>1294</v>
      </c>
      <c r="J911" s="18"/>
      <c r="K911" s="18"/>
      <c r="M911" s="20" t="str">
        <f t="shared" si="14"/>
        <v>Petromyzon marinus</v>
      </c>
    </row>
    <row r="912" spans="1:13" ht="15" customHeight="1" x14ac:dyDescent="0.2">
      <c r="A912" s="14" t="s">
        <v>3061</v>
      </c>
      <c r="B912" s="15">
        <v>16017</v>
      </c>
      <c r="C912" s="16" t="s">
        <v>1130</v>
      </c>
      <c r="D912" s="14" t="s">
        <v>3135</v>
      </c>
      <c r="E912" s="17" t="s">
        <v>1293</v>
      </c>
      <c r="F912" s="18" t="s">
        <v>1131</v>
      </c>
      <c r="G912" s="18" t="s">
        <v>1774</v>
      </c>
      <c r="H912" s="18" t="s">
        <v>547</v>
      </c>
      <c r="I912" s="14" t="s">
        <v>2059</v>
      </c>
      <c r="J912" s="18"/>
      <c r="K912" s="18"/>
      <c r="M912" s="20" t="str">
        <f t="shared" si="14"/>
        <v>Pristis pectinata</v>
      </c>
    </row>
    <row r="913" spans="1:13" ht="15" customHeight="1" x14ac:dyDescent="0.2">
      <c r="A913" s="14" t="s">
        <v>3061</v>
      </c>
      <c r="B913" s="15">
        <v>16018</v>
      </c>
      <c r="C913" s="16" t="s">
        <v>1132</v>
      </c>
      <c r="D913" s="14" t="s">
        <v>3136</v>
      </c>
      <c r="E913" s="17" t="s">
        <v>1293</v>
      </c>
      <c r="F913" s="18" t="s">
        <v>1133</v>
      </c>
      <c r="G913" s="18" t="s">
        <v>1774</v>
      </c>
      <c r="H913" s="18" t="s">
        <v>547</v>
      </c>
      <c r="I913" s="14" t="s">
        <v>2059</v>
      </c>
      <c r="J913" s="18"/>
      <c r="K913" s="18"/>
      <c r="M913" s="20" t="str">
        <f t="shared" si="14"/>
        <v>Pristis pristis</v>
      </c>
    </row>
    <row r="914" spans="1:13" ht="12.75" customHeight="1" x14ac:dyDescent="0.2">
      <c r="A914" s="14" t="s">
        <v>3061</v>
      </c>
      <c r="B914" s="15">
        <v>79268</v>
      </c>
      <c r="C914" s="16" t="s">
        <v>3137</v>
      </c>
      <c r="D914" s="30" t="s">
        <v>3138</v>
      </c>
      <c r="E914" s="17" t="s">
        <v>1293</v>
      </c>
      <c r="F914" s="18" t="s">
        <v>3139</v>
      </c>
      <c r="G914" s="18" t="s">
        <v>1774</v>
      </c>
      <c r="H914" s="18" t="s">
        <v>547</v>
      </c>
      <c r="I914" s="14" t="s">
        <v>1411</v>
      </c>
      <c r="J914" s="18"/>
      <c r="K914" s="18"/>
      <c r="M914" s="20" t="str">
        <f t="shared" si="14"/>
        <v>Rhinobatos cemiculus</v>
      </c>
    </row>
    <row r="915" spans="1:13" ht="15" customHeight="1" x14ac:dyDescent="0.2">
      <c r="A915" s="14" t="s">
        <v>3061</v>
      </c>
      <c r="B915" s="15">
        <v>16045</v>
      </c>
      <c r="C915" s="16" t="s">
        <v>3140</v>
      </c>
      <c r="D915" s="14" t="s">
        <v>3141</v>
      </c>
      <c r="E915" s="17" t="s">
        <v>1293</v>
      </c>
      <c r="F915" s="18" t="s">
        <v>3142</v>
      </c>
      <c r="G915" s="18" t="s">
        <v>1774</v>
      </c>
      <c r="H915" s="18" t="s">
        <v>547</v>
      </c>
      <c r="I915" s="14" t="s">
        <v>1411</v>
      </c>
      <c r="J915" s="18"/>
      <c r="K915" s="18"/>
      <c r="M915" s="20" t="str">
        <f t="shared" si="14"/>
        <v>Rhinobatos rhinobatos</v>
      </c>
    </row>
    <row r="916" spans="1:13" s="25" customFormat="1" ht="15" customHeight="1" x14ac:dyDescent="0.2">
      <c r="A916" s="15" t="s">
        <v>3061</v>
      </c>
      <c r="B916" s="31">
        <v>16014</v>
      </c>
      <c r="C916" s="56" t="s">
        <v>3143</v>
      </c>
      <c r="D916" s="90" t="s">
        <v>3144</v>
      </c>
      <c r="E916" s="23" t="s">
        <v>1293</v>
      </c>
      <c r="F916" s="32" t="s">
        <v>3145</v>
      </c>
      <c r="G916" s="32" t="s">
        <v>1774</v>
      </c>
      <c r="H916" s="24" t="s">
        <v>547</v>
      </c>
      <c r="I916" s="15" t="s">
        <v>1483</v>
      </c>
      <c r="J916" s="24"/>
      <c r="K916" s="24"/>
      <c r="M916" s="20" t="str">
        <f t="shared" si="14"/>
        <v>Rhinoptera marginata Geoffroy, 1817</v>
      </c>
    </row>
    <row r="917" spans="1:13" s="25" customFormat="1" ht="15" customHeight="1" x14ac:dyDescent="0.2">
      <c r="A917" s="15" t="s">
        <v>3061</v>
      </c>
      <c r="B917" s="15">
        <v>16043</v>
      </c>
      <c r="C917" s="21" t="s">
        <v>1126</v>
      </c>
      <c r="D917" s="15" t="s">
        <v>3146</v>
      </c>
      <c r="E917" s="23" t="s">
        <v>1293</v>
      </c>
      <c r="F917" s="24" t="s">
        <v>1127</v>
      </c>
      <c r="G917" s="24" t="s">
        <v>1774</v>
      </c>
      <c r="H917" s="24" t="s">
        <v>547</v>
      </c>
      <c r="I917" s="15" t="s">
        <v>2059</v>
      </c>
      <c r="J917" s="24"/>
      <c r="K917" s="24"/>
      <c r="M917" s="20" t="str">
        <f t="shared" si="14"/>
        <v>Rostroraja alba</v>
      </c>
    </row>
    <row r="918" spans="1:13" s="25" customFormat="1" ht="15" customHeight="1" x14ac:dyDescent="0.2">
      <c r="A918" s="15" t="s">
        <v>3061</v>
      </c>
      <c r="B918" s="15">
        <v>11287</v>
      </c>
      <c r="C918" s="21" t="s">
        <v>1147</v>
      </c>
      <c r="D918" s="22" t="s">
        <v>3147</v>
      </c>
      <c r="E918" s="23" t="s">
        <v>1293</v>
      </c>
      <c r="F918" s="24" t="s">
        <v>1148</v>
      </c>
      <c r="G918" s="24"/>
      <c r="H918" s="24" t="s">
        <v>562</v>
      </c>
      <c r="I918" s="15" t="s">
        <v>1294</v>
      </c>
      <c r="J918" s="24"/>
      <c r="K918" s="24"/>
      <c r="M918" s="20" t="str">
        <f t="shared" si="14"/>
        <v>Salaria fluviatilis (= Blennius fluviatilis)</v>
      </c>
    </row>
    <row r="919" spans="1:13" s="25" customFormat="1" ht="13.5" customHeight="1" x14ac:dyDescent="0.2">
      <c r="A919" s="15" t="s">
        <v>3061</v>
      </c>
      <c r="B919" s="15">
        <v>201574</v>
      </c>
      <c r="C919" s="89" t="s">
        <v>3148</v>
      </c>
      <c r="D919" s="30" t="s">
        <v>3149</v>
      </c>
      <c r="E919" s="23" t="s">
        <v>3071</v>
      </c>
      <c r="F919" s="24"/>
      <c r="G919" s="24"/>
      <c r="H919" s="24" t="s">
        <v>547</v>
      </c>
      <c r="I919" s="15" t="s">
        <v>1294</v>
      </c>
      <c r="J919" s="24"/>
      <c r="K919" s="24"/>
      <c r="M919" s="20" t="str">
        <f t="shared" si="14"/>
        <v>(5) Sphyrnidae</v>
      </c>
    </row>
    <row r="920" spans="1:13" ht="15" customHeight="1" x14ac:dyDescent="0.2">
      <c r="A920" s="14" t="s">
        <v>3061</v>
      </c>
      <c r="B920" s="15">
        <v>11925</v>
      </c>
      <c r="C920" s="16" t="s">
        <v>1143</v>
      </c>
      <c r="D920" s="14" t="s">
        <v>3150</v>
      </c>
      <c r="E920" s="17" t="s">
        <v>1293</v>
      </c>
      <c r="F920" s="18" t="s">
        <v>1144</v>
      </c>
      <c r="G920" s="18"/>
      <c r="H920" s="18" t="s">
        <v>1300</v>
      </c>
      <c r="I920" s="14" t="s">
        <v>1294</v>
      </c>
      <c r="J920" s="18"/>
      <c r="K920" s="18"/>
      <c r="M920" s="20" t="str">
        <f t="shared" si="14"/>
        <v>Squalius palaciosi (= Iberocypris palaciosi)</v>
      </c>
    </row>
    <row r="921" spans="1:13" ht="15" customHeight="1" x14ac:dyDescent="0.2">
      <c r="A921" s="14" t="s">
        <v>3061</v>
      </c>
      <c r="B921" s="15">
        <v>16072</v>
      </c>
      <c r="C921" s="16" t="s">
        <v>1136</v>
      </c>
      <c r="D921" s="15" t="s">
        <v>3151</v>
      </c>
      <c r="E921" s="17" t="s">
        <v>1293</v>
      </c>
      <c r="F921" s="18" t="s">
        <v>1137</v>
      </c>
      <c r="G921" s="18" t="s">
        <v>1465</v>
      </c>
      <c r="H921" s="18" t="s">
        <v>1300</v>
      </c>
      <c r="I921" s="14" t="s">
        <v>1449</v>
      </c>
      <c r="J921" s="18"/>
      <c r="K921" s="14"/>
      <c r="M921" s="20" t="str">
        <f t="shared" si="14"/>
        <v>Squatina aculeata</v>
      </c>
    </row>
    <row r="922" spans="1:13" ht="15" customHeight="1" x14ac:dyDescent="0.2">
      <c r="A922" s="14" t="s">
        <v>3061</v>
      </c>
      <c r="B922" s="15">
        <v>16072</v>
      </c>
      <c r="C922" s="16" t="s">
        <v>1136</v>
      </c>
      <c r="D922" s="16" t="s">
        <v>3152</v>
      </c>
      <c r="E922" s="17" t="s">
        <v>1293</v>
      </c>
      <c r="F922" s="18" t="s">
        <v>1137</v>
      </c>
      <c r="G922" s="18" t="s">
        <v>1774</v>
      </c>
      <c r="H922" s="18" t="s">
        <v>547</v>
      </c>
      <c r="I922" s="14" t="s">
        <v>2059</v>
      </c>
      <c r="J922" s="18"/>
      <c r="K922" s="18"/>
      <c r="M922" s="20" t="str">
        <f t="shared" si="14"/>
        <v>Squatina aculeata</v>
      </c>
    </row>
    <row r="923" spans="1:13" ht="15" customHeight="1" x14ac:dyDescent="0.2">
      <c r="A923" s="14" t="s">
        <v>3061</v>
      </c>
      <c r="B923" s="15">
        <v>20053</v>
      </c>
      <c r="C923" s="16" t="s">
        <v>3153</v>
      </c>
      <c r="D923" s="15" t="s">
        <v>3154</v>
      </c>
      <c r="E923" s="17" t="s">
        <v>1293</v>
      </c>
      <c r="F923" s="18" t="s">
        <v>1138</v>
      </c>
      <c r="G923" s="18" t="s">
        <v>1465</v>
      </c>
      <c r="H923" s="18" t="s">
        <v>1300</v>
      </c>
      <c r="I923" s="14" t="s">
        <v>1449</v>
      </c>
      <c r="J923" s="18"/>
      <c r="K923" s="14"/>
      <c r="M923" s="20" t="str">
        <f t="shared" si="14"/>
        <v>Squatina oculata</v>
      </c>
    </row>
    <row r="924" spans="1:13" ht="12.75" customHeight="1" x14ac:dyDescent="0.2">
      <c r="A924" s="14" t="s">
        <v>3061</v>
      </c>
      <c r="B924" s="15">
        <v>20053</v>
      </c>
      <c r="C924" s="16" t="s">
        <v>3153</v>
      </c>
      <c r="D924" s="15" t="s">
        <v>3154</v>
      </c>
      <c r="E924" s="17" t="s">
        <v>1293</v>
      </c>
      <c r="F924" s="18" t="s">
        <v>1138</v>
      </c>
      <c r="G924" s="18" t="s">
        <v>1774</v>
      </c>
      <c r="H924" s="18" t="s">
        <v>547</v>
      </c>
      <c r="I924" s="14" t="s">
        <v>2059</v>
      </c>
      <c r="J924" s="18"/>
      <c r="K924" s="18"/>
      <c r="M924" s="20" t="str">
        <f t="shared" si="14"/>
        <v>Squatina oculata</v>
      </c>
    </row>
    <row r="925" spans="1:13" ht="15" customHeight="1" x14ac:dyDescent="0.2">
      <c r="A925" s="14" t="s">
        <v>3061</v>
      </c>
      <c r="B925" s="15">
        <v>16073</v>
      </c>
      <c r="C925" s="16" t="s">
        <v>1139</v>
      </c>
      <c r="D925" s="15" t="s">
        <v>3155</v>
      </c>
      <c r="E925" s="17" t="s">
        <v>1293</v>
      </c>
      <c r="F925" s="18" t="s">
        <v>1140</v>
      </c>
      <c r="G925" s="18" t="s">
        <v>1465</v>
      </c>
      <c r="H925" s="18" t="s">
        <v>1300</v>
      </c>
      <c r="I925" s="14" t="s">
        <v>1449</v>
      </c>
      <c r="J925" s="18"/>
      <c r="K925" s="14"/>
      <c r="M925" s="20" t="str">
        <f t="shared" si="14"/>
        <v>Squatina squatina</v>
      </c>
    </row>
    <row r="926" spans="1:13" ht="15" customHeight="1" x14ac:dyDescent="0.2">
      <c r="A926" s="14" t="s">
        <v>3061</v>
      </c>
      <c r="B926" s="15">
        <v>16073</v>
      </c>
      <c r="C926" s="16" t="s">
        <v>1139</v>
      </c>
      <c r="D926" s="15" t="s">
        <v>3155</v>
      </c>
      <c r="E926" s="17" t="s">
        <v>1293</v>
      </c>
      <c r="F926" s="18" t="s">
        <v>1140</v>
      </c>
      <c r="G926" s="18" t="s">
        <v>1774</v>
      </c>
      <c r="H926" s="18" t="s">
        <v>547</v>
      </c>
      <c r="I926" s="14" t="s">
        <v>2059</v>
      </c>
      <c r="J926" s="18"/>
      <c r="K926" s="18"/>
      <c r="M926" s="20" t="str">
        <f t="shared" si="14"/>
        <v>Squatina squatina</v>
      </c>
    </row>
    <row r="927" spans="1:13" ht="15" customHeight="1" x14ac:dyDescent="0.2">
      <c r="A927" s="14" t="s">
        <v>3061</v>
      </c>
      <c r="B927" s="15">
        <v>11455</v>
      </c>
      <c r="C927" s="16" t="s">
        <v>3156</v>
      </c>
      <c r="D927" s="14" t="s">
        <v>3157</v>
      </c>
      <c r="E927" s="17" t="s">
        <v>1293</v>
      </c>
      <c r="F927" s="18" t="s">
        <v>3158</v>
      </c>
      <c r="G927" s="18"/>
      <c r="H927" s="18" t="s">
        <v>1300</v>
      </c>
      <c r="I927" s="14" t="s">
        <v>1294</v>
      </c>
      <c r="J927" s="18"/>
      <c r="K927" s="18"/>
      <c r="M927" s="20" t="str">
        <f t="shared" si="14"/>
        <v>Valencia hispanica</v>
      </c>
    </row>
    <row r="928" spans="1:13" ht="12.75" customHeight="1" x14ac:dyDescent="0.2">
      <c r="A928" s="15" t="s">
        <v>71</v>
      </c>
      <c r="B928" s="15">
        <v>11682</v>
      </c>
      <c r="C928" s="21" t="s">
        <v>3159</v>
      </c>
      <c r="D928" s="14" t="s">
        <v>3160</v>
      </c>
      <c r="E928" s="17" t="s">
        <v>1293</v>
      </c>
      <c r="F928" s="18" t="s">
        <v>3161</v>
      </c>
      <c r="G928" s="18"/>
      <c r="H928" s="18" t="s">
        <v>1300</v>
      </c>
      <c r="I928" s="14" t="s">
        <v>1449</v>
      </c>
      <c r="J928" s="18" t="s">
        <v>3162</v>
      </c>
      <c r="K928" s="35"/>
      <c r="M928" s="20" t="str">
        <f t="shared" si="14"/>
        <v>Iberolacerta martinezricai</v>
      </c>
    </row>
    <row r="929" spans="1:13" s="25" customFormat="1" ht="15" customHeight="1" x14ac:dyDescent="0.2">
      <c r="A929" s="15" t="s">
        <v>71</v>
      </c>
      <c r="B929" s="15">
        <v>11660</v>
      </c>
      <c r="C929" s="21" t="s">
        <v>1166</v>
      </c>
      <c r="D929" s="22" t="s">
        <v>3163</v>
      </c>
      <c r="E929" s="23" t="s">
        <v>1293</v>
      </c>
      <c r="F929" s="24" t="s">
        <v>1167</v>
      </c>
      <c r="G929" s="24"/>
      <c r="H929" s="24" t="s">
        <v>562</v>
      </c>
      <c r="I929" s="15" t="s">
        <v>1294</v>
      </c>
      <c r="J929" s="24"/>
      <c r="K929" s="24"/>
      <c r="M929" s="20" t="str">
        <f t="shared" si="14"/>
        <v>Algyroides marchi</v>
      </c>
    </row>
    <row r="930" spans="1:13" ht="15" customHeight="1" x14ac:dyDescent="0.2">
      <c r="A930" s="14" t="s">
        <v>71</v>
      </c>
      <c r="B930" s="15">
        <v>11301</v>
      </c>
      <c r="C930" s="16" t="s">
        <v>3164</v>
      </c>
      <c r="D930" s="14" t="s">
        <v>3165</v>
      </c>
      <c r="E930" s="17" t="s">
        <v>1293</v>
      </c>
      <c r="F930" s="18" t="s">
        <v>3166</v>
      </c>
      <c r="G930" s="18"/>
      <c r="H930" s="18" t="s">
        <v>547</v>
      </c>
      <c r="I930" s="14" t="s">
        <v>1294</v>
      </c>
      <c r="J930" s="18"/>
      <c r="K930" s="18"/>
      <c r="M930" s="20" t="str">
        <f t="shared" si="14"/>
        <v>Anguis fragilis</v>
      </c>
    </row>
    <row r="931" spans="1:13" ht="15" customHeight="1" x14ac:dyDescent="0.2">
      <c r="A931" s="14" t="s">
        <v>71</v>
      </c>
      <c r="B931" s="15">
        <v>10901</v>
      </c>
      <c r="C931" s="16" t="s">
        <v>587</v>
      </c>
      <c r="D931" s="14" t="s">
        <v>3167</v>
      </c>
      <c r="E931" s="17" t="s">
        <v>1293</v>
      </c>
      <c r="F931" s="18" t="s">
        <v>1173</v>
      </c>
      <c r="G931" s="18"/>
      <c r="H931" s="18" t="s">
        <v>547</v>
      </c>
      <c r="I931" s="14" t="s">
        <v>1294</v>
      </c>
      <c r="J931" s="18"/>
      <c r="K931" s="18"/>
      <c r="M931" s="20" t="str">
        <f t="shared" si="14"/>
        <v>Blanus cinereus</v>
      </c>
    </row>
    <row r="932" spans="1:13" ht="15" customHeight="1" x14ac:dyDescent="0.2">
      <c r="A932" s="14" t="s">
        <v>71</v>
      </c>
      <c r="B932" s="15">
        <v>12320</v>
      </c>
      <c r="C932" s="16" t="s">
        <v>3168</v>
      </c>
      <c r="D932" s="14" t="s">
        <v>3169</v>
      </c>
      <c r="E932" s="17" t="s">
        <v>1293</v>
      </c>
      <c r="F932" s="18" t="s">
        <v>3170</v>
      </c>
      <c r="G932" s="18"/>
      <c r="H932" s="18" t="s">
        <v>547</v>
      </c>
      <c r="I932" s="14" t="s">
        <v>1294</v>
      </c>
      <c r="J932" s="18"/>
      <c r="K932" s="18"/>
      <c r="M932" s="20" t="str">
        <f t="shared" si="14"/>
        <v>Blanus tingitanus</v>
      </c>
    </row>
    <row r="933" spans="1:13" ht="15" customHeight="1" x14ac:dyDescent="0.2">
      <c r="A933" s="14" t="s">
        <v>71</v>
      </c>
      <c r="B933" s="15">
        <v>10970</v>
      </c>
      <c r="C933" s="16" t="s">
        <v>3171</v>
      </c>
      <c r="D933" s="14" t="s">
        <v>3172</v>
      </c>
      <c r="E933" s="17" t="s">
        <v>1293</v>
      </c>
      <c r="F933" s="18" t="s">
        <v>1151</v>
      </c>
      <c r="G933" s="18"/>
      <c r="H933" s="18" t="s">
        <v>562</v>
      </c>
      <c r="I933" s="14" t="s">
        <v>1294</v>
      </c>
      <c r="J933" s="18"/>
      <c r="K933" s="18"/>
      <c r="M933" s="20" t="str">
        <f t="shared" si="14"/>
        <v>Caretta caretta</v>
      </c>
    </row>
    <row r="934" spans="1:13" ht="15" customHeight="1" x14ac:dyDescent="0.2">
      <c r="A934" s="14" t="s">
        <v>71</v>
      </c>
      <c r="B934" s="15">
        <v>10827</v>
      </c>
      <c r="C934" s="16" t="s">
        <v>1162</v>
      </c>
      <c r="D934" s="14" t="s">
        <v>3173</v>
      </c>
      <c r="E934" s="17" t="s">
        <v>1293</v>
      </c>
      <c r="F934" s="18" t="s">
        <v>1163</v>
      </c>
      <c r="G934" s="18"/>
      <c r="H934" s="18" t="s">
        <v>547</v>
      </c>
      <c r="I934" s="14" t="s">
        <v>1294</v>
      </c>
      <c r="J934" s="18"/>
      <c r="K934" s="18"/>
      <c r="M934" s="20" t="str">
        <f t="shared" si="14"/>
        <v>Chalcides bedriagai</v>
      </c>
    </row>
    <row r="935" spans="1:13" ht="15" customHeight="1" x14ac:dyDescent="0.2">
      <c r="A935" s="14" t="s">
        <v>71</v>
      </c>
      <c r="B935" s="15">
        <v>11058</v>
      </c>
      <c r="C935" s="16" t="s">
        <v>3174</v>
      </c>
      <c r="D935" s="14" t="s">
        <v>3175</v>
      </c>
      <c r="E935" s="17" t="s">
        <v>1293</v>
      </c>
      <c r="F935" s="18" t="s">
        <v>3176</v>
      </c>
      <c r="G935" s="18"/>
      <c r="H935" s="18" t="s">
        <v>547</v>
      </c>
      <c r="I935" s="14" t="s">
        <v>1294</v>
      </c>
      <c r="J935" s="18"/>
      <c r="K935" s="18"/>
      <c r="M935" s="20" t="str">
        <f t="shared" si="14"/>
        <v>Chalcides colosii</v>
      </c>
    </row>
    <row r="936" spans="1:13" ht="15" customHeight="1" x14ac:dyDescent="0.2">
      <c r="A936" s="14" t="s">
        <v>71</v>
      </c>
      <c r="B936" s="15">
        <v>12025</v>
      </c>
      <c r="C936" s="16" t="s">
        <v>3177</v>
      </c>
      <c r="D936" s="14" t="s">
        <v>3178</v>
      </c>
      <c r="E936" s="17" t="s">
        <v>1293</v>
      </c>
      <c r="F936" s="18" t="s">
        <v>3179</v>
      </c>
      <c r="G936" s="18"/>
      <c r="H936" s="18" t="s">
        <v>547</v>
      </c>
      <c r="I936" s="14" t="s">
        <v>1294</v>
      </c>
      <c r="J936" s="18"/>
      <c r="K936" s="18"/>
      <c r="M936" s="20" t="str">
        <f t="shared" si="14"/>
        <v>Chalcides pseudostriatus</v>
      </c>
    </row>
    <row r="937" spans="1:13" ht="15" customHeight="1" x14ac:dyDescent="0.2">
      <c r="A937" s="14" t="s">
        <v>71</v>
      </c>
      <c r="B937" s="15">
        <v>12202</v>
      </c>
      <c r="C937" s="16" t="s">
        <v>3180</v>
      </c>
      <c r="D937" s="14" t="s">
        <v>3181</v>
      </c>
      <c r="E937" s="17" t="s">
        <v>1293</v>
      </c>
      <c r="F937" s="18" t="s">
        <v>3182</v>
      </c>
      <c r="G937" s="18"/>
      <c r="H937" s="18" t="s">
        <v>547</v>
      </c>
      <c r="I937" s="14" t="s">
        <v>1294</v>
      </c>
      <c r="J937" s="18"/>
      <c r="K937" s="18"/>
      <c r="M937" s="20" t="str">
        <f t="shared" si="14"/>
        <v>Chalcides sexlineatus</v>
      </c>
    </row>
    <row r="938" spans="1:13" ht="15" customHeight="1" x14ac:dyDescent="0.2">
      <c r="A938" s="14" t="s">
        <v>71</v>
      </c>
      <c r="B938" s="15">
        <v>12218</v>
      </c>
      <c r="C938" s="16" t="s">
        <v>3183</v>
      </c>
      <c r="D938" s="14" t="s">
        <v>3184</v>
      </c>
      <c r="E938" s="17" t="s">
        <v>1293</v>
      </c>
      <c r="F938" s="18" t="s">
        <v>3185</v>
      </c>
      <c r="G938" s="18"/>
      <c r="H938" s="18" t="s">
        <v>562</v>
      </c>
      <c r="I938" s="14" t="s">
        <v>1294</v>
      </c>
      <c r="J938" s="18"/>
      <c r="K938" s="18"/>
      <c r="M938" s="20" t="str">
        <f t="shared" si="14"/>
        <v>Chalcides simonyi</v>
      </c>
    </row>
    <row r="939" spans="1:13" ht="15" customHeight="1" x14ac:dyDescent="0.2">
      <c r="A939" s="14" t="s">
        <v>71</v>
      </c>
      <c r="B939" s="15">
        <v>12254</v>
      </c>
      <c r="C939" s="16" t="s">
        <v>3186</v>
      </c>
      <c r="D939" s="14" t="s">
        <v>3187</v>
      </c>
      <c r="E939" s="17" t="s">
        <v>1293</v>
      </c>
      <c r="F939" s="18" t="s">
        <v>1164</v>
      </c>
      <c r="G939" s="18"/>
      <c r="H939" s="18" t="s">
        <v>547</v>
      </c>
      <c r="I939" s="14" t="s">
        <v>1294</v>
      </c>
      <c r="J939" s="18"/>
      <c r="K939" s="18"/>
      <c r="M939" s="20" t="str">
        <f t="shared" si="14"/>
        <v>Chalcides striatus (antes Chalcides chalcides)</v>
      </c>
    </row>
    <row r="940" spans="1:13" ht="15" customHeight="1" x14ac:dyDescent="0.2">
      <c r="A940" s="14" t="s">
        <v>71</v>
      </c>
      <c r="B940" s="15">
        <v>11220</v>
      </c>
      <c r="C940" s="16" t="s">
        <v>409</v>
      </c>
      <c r="D940" s="14" t="s">
        <v>3188</v>
      </c>
      <c r="E940" s="17" t="s">
        <v>1293</v>
      </c>
      <c r="F940" s="18" t="s">
        <v>1165</v>
      </c>
      <c r="G940" s="18"/>
      <c r="H940" s="18" t="s">
        <v>547</v>
      </c>
      <c r="I940" s="14" t="s">
        <v>1294</v>
      </c>
      <c r="J940" s="18"/>
      <c r="K940" s="18"/>
      <c r="M940" s="20" t="str">
        <f t="shared" si="14"/>
        <v>Acanthodactylus erythrurus</v>
      </c>
    </row>
    <row r="941" spans="1:13" ht="15" customHeight="1" x14ac:dyDescent="0.2">
      <c r="A941" s="14" t="s">
        <v>71</v>
      </c>
      <c r="B941" s="15">
        <v>12399</v>
      </c>
      <c r="C941" s="16" t="s">
        <v>3189</v>
      </c>
      <c r="D941" s="14" t="s">
        <v>3190</v>
      </c>
      <c r="E941" s="17" t="s">
        <v>1293</v>
      </c>
      <c r="F941" s="18" t="s">
        <v>3191</v>
      </c>
      <c r="G941" s="18"/>
      <c r="H941" s="18" t="s">
        <v>547</v>
      </c>
      <c r="I941" s="14" t="s">
        <v>1294</v>
      </c>
      <c r="J941" s="18"/>
      <c r="K941" s="18"/>
      <c r="M941" s="20" t="str">
        <f t="shared" si="14"/>
        <v>Chalcides viridanus</v>
      </c>
    </row>
    <row r="942" spans="1:13" ht="15" customHeight="1" x14ac:dyDescent="0.2">
      <c r="A942" s="14" t="s">
        <v>71</v>
      </c>
      <c r="B942" s="15">
        <v>10883</v>
      </c>
      <c r="C942" s="16" t="s">
        <v>1160</v>
      </c>
      <c r="D942" s="14" t="s">
        <v>3192</v>
      </c>
      <c r="E942" s="17" t="s">
        <v>1293</v>
      </c>
      <c r="F942" s="18" t="s">
        <v>1161</v>
      </c>
      <c r="G942" s="18"/>
      <c r="H942" s="18" t="s">
        <v>547</v>
      </c>
      <c r="I942" s="14" t="s">
        <v>1294</v>
      </c>
      <c r="J942" s="18"/>
      <c r="K942" s="18"/>
      <c r="M942" s="20" t="str">
        <f t="shared" si="14"/>
        <v>Chamaeleo chamaeleon</v>
      </c>
    </row>
    <row r="943" spans="1:13" ht="15" customHeight="1" x14ac:dyDescent="0.2">
      <c r="A943" s="14" t="s">
        <v>71</v>
      </c>
      <c r="B943" s="15">
        <v>11801</v>
      </c>
      <c r="C943" s="16" t="s">
        <v>1152</v>
      </c>
      <c r="D943" s="14" t="s">
        <v>3193</v>
      </c>
      <c r="E943" s="17" t="s">
        <v>1293</v>
      </c>
      <c r="F943" s="18" t="s">
        <v>1153</v>
      </c>
      <c r="G943" s="18"/>
      <c r="H943" s="18" t="s">
        <v>547</v>
      </c>
      <c r="I943" s="14" t="s">
        <v>1294</v>
      </c>
      <c r="J943" s="18"/>
      <c r="K943" s="18"/>
      <c r="M943" s="20" t="str">
        <f t="shared" si="14"/>
        <v>Chelonia mydas</v>
      </c>
    </row>
    <row r="944" spans="1:13" ht="15" customHeight="1" x14ac:dyDescent="0.2">
      <c r="A944" s="14" t="s">
        <v>71</v>
      </c>
      <c r="B944" s="15">
        <v>10718</v>
      </c>
      <c r="C944" s="16" t="s">
        <v>1174</v>
      </c>
      <c r="D944" s="14" t="s">
        <v>3194</v>
      </c>
      <c r="E944" s="17" t="s">
        <v>1293</v>
      </c>
      <c r="F944" s="18" t="s">
        <v>1175</v>
      </c>
      <c r="G944" s="18"/>
      <c r="H944" s="18" t="s">
        <v>547</v>
      </c>
      <c r="I944" s="14" t="s">
        <v>1294</v>
      </c>
      <c r="J944" s="18"/>
      <c r="K944" s="18"/>
      <c r="M944" s="20" t="str">
        <f t="shared" si="14"/>
        <v>Coronella austriaca</v>
      </c>
    </row>
    <row r="945" spans="1:13" ht="15" customHeight="1" x14ac:dyDescent="0.2">
      <c r="A945" s="14" t="s">
        <v>71</v>
      </c>
      <c r="B945" s="15">
        <v>11362</v>
      </c>
      <c r="C945" s="16" t="s">
        <v>620</v>
      </c>
      <c r="D945" s="14" t="s">
        <v>3195</v>
      </c>
      <c r="E945" s="17" t="s">
        <v>1293</v>
      </c>
      <c r="F945" s="18" t="s">
        <v>621</v>
      </c>
      <c r="G945" s="18"/>
      <c r="H945" s="18" t="s">
        <v>547</v>
      </c>
      <c r="I945" s="14" t="s">
        <v>1294</v>
      </c>
      <c r="J945" s="18"/>
      <c r="K945" s="18"/>
      <c r="M945" s="20" t="str">
        <f t="shared" si="14"/>
        <v>Coronella girondica</v>
      </c>
    </row>
    <row r="946" spans="1:13" ht="15" customHeight="1" x14ac:dyDescent="0.2">
      <c r="A946" s="14" t="s">
        <v>71</v>
      </c>
      <c r="B946" s="15">
        <v>20100</v>
      </c>
      <c r="C946" s="16" t="s">
        <v>1156</v>
      </c>
      <c r="D946" s="14" t="s">
        <v>3196</v>
      </c>
      <c r="E946" s="17" t="s">
        <v>1293</v>
      </c>
      <c r="F946" s="18" t="s">
        <v>1157</v>
      </c>
      <c r="G946" s="18"/>
      <c r="H946" s="18" t="s">
        <v>547</v>
      </c>
      <c r="I946" s="14" t="s">
        <v>1294</v>
      </c>
      <c r="J946" s="18"/>
      <c r="K946" s="18"/>
      <c r="M946" s="20" t="str">
        <f t="shared" si="14"/>
        <v>Dermochelys coriacea</v>
      </c>
    </row>
    <row r="947" spans="1:13" ht="15" customHeight="1" x14ac:dyDescent="0.2">
      <c r="A947" s="14" t="s">
        <v>71</v>
      </c>
      <c r="B947" s="15">
        <v>11903</v>
      </c>
      <c r="C947" s="16" t="s">
        <v>1158</v>
      </c>
      <c r="D947" s="14" t="s">
        <v>3197</v>
      </c>
      <c r="E947" s="17" t="s">
        <v>1293</v>
      </c>
      <c r="F947" s="18" t="s">
        <v>1159</v>
      </c>
      <c r="G947" s="18"/>
      <c r="H947" s="18" t="s">
        <v>562</v>
      </c>
      <c r="I947" s="14" t="s">
        <v>1472</v>
      </c>
      <c r="J947" s="18" t="s">
        <v>2121</v>
      </c>
      <c r="K947" s="18"/>
      <c r="M947" s="20" t="str">
        <f t="shared" si="14"/>
        <v>Emys orbicularis</v>
      </c>
    </row>
    <row r="948" spans="1:13" ht="15" customHeight="1" x14ac:dyDescent="0.2">
      <c r="A948" s="14" t="s">
        <v>71</v>
      </c>
      <c r="B948" s="15">
        <v>11505</v>
      </c>
      <c r="C948" s="16" t="s">
        <v>1154</v>
      </c>
      <c r="D948" s="15" t="s">
        <v>3198</v>
      </c>
      <c r="E948" s="17" t="s">
        <v>1293</v>
      </c>
      <c r="F948" s="18" t="s">
        <v>1155</v>
      </c>
      <c r="G948" s="18"/>
      <c r="H948" s="18" t="s">
        <v>547</v>
      </c>
      <c r="I948" s="14" t="s">
        <v>1294</v>
      </c>
      <c r="J948" s="18"/>
      <c r="K948" s="18"/>
      <c r="M948" s="20" t="str">
        <f t="shared" si="14"/>
        <v>Eretmochelys imbricata</v>
      </c>
    </row>
    <row r="949" spans="1:13" ht="15" customHeight="1" x14ac:dyDescent="0.2">
      <c r="A949" s="14" t="s">
        <v>71</v>
      </c>
      <c r="B949" s="15">
        <v>10785</v>
      </c>
      <c r="C949" s="16" t="s">
        <v>3199</v>
      </c>
      <c r="D949" s="15" t="s">
        <v>3200</v>
      </c>
      <c r="E949" s="17" t="s">
        <v>1293</v>
      </c>
      <c r="F949" s="18" t="s">
        <v>3201</v>
      </c>
      <c r="G949" s="18"/>
      <c r="H949" s="18" t="s">
        <v>547</v>
      </c>
      <c r="I949" s="14" t="s">
        <v>1294</v>
      </c>
      <c r="J949" s="18"/>
      <c r="K949" s="18"/>
      <c r="M949" s="20" t="str">
        <f t="shared" si="14"/>
        <v>Gallotia atlantica</v>
      </c>
    </row>
    <row r="950" spans="1:13" ht="15" customHeight="1" x14ac:dyDescent="0.2">
      <c r="A950" s="14" t="s">
        <v>71</v>
      </c>
      <c r="B950" s="15">
        <v>10875</v>
      </c>
      <c r="C950" s="16" t="s">
        <v>3202</v>
      </c>
      <c r="D950" s="15" t="s">
        <v>3203</v>
      </c>
      <c r="E950" s="17" t="s">
        <v>1293</v>
      </c>
      <c r="F950" s="18" t="s">
        <v>3204</v>
      </c>
      <c r="G950" s="18"/>
      <c r="H950" s="18" t="s">
        <v>1300</v>
      </c>
      <c r="I950" s="14" t="s">
        <v>1294</v>
      </c>
      <c r="J950" s="18"/>
      <c r="K950" s="18"/>
      <c r="M950" s="20" t="str">
        <f t="shared" si="14"/>
        <v>Gallotia gomerana</v>
      </c>
    </row>
    <row r="951" spans="1:13" ht="12.75" customHeight="1" x14ac:dyDescent="0.2">
      <c r="A951" s="14" t="s">
        <v>71</v>
      </c>
      <c r="B951" s="15">
        <v>24239</v>
      </c>
      <c r="C951" s="16" t="s">
        <v>3205</v>
      </c>
      <c r="D951" s="15" t="s">
        <v>3206</v>
      </c>
      <c r="E951" s="17" t="s">
        <v>1318</v>
      </c>
      <c r="F951" s="18" t="s">
        <v>3207</v>
      </c>
      <c r="G951" s="18"/>
      <c r="H951" s="18" t="s">
        <v>562</v>
      </c>
      <c r="I951" s="14" t="s">
        <v>1294</v>
      </c>
      <c r="J951" s="18"/>
      <c r="K951" s="18"/>
      <c r="M951" s="20" t="str">
        <f t="shared" si="14"/>
        <v>Gallotia galloti insulanagae</v>
      </c>
    </row>
    <row r="952" spans="1:13" ht="15" customHeight="1" x14ac:dyDescent="0.2">
      <c r="A952" s="14" t="s">
        <v>71</v>
      </c>
      <c r="B952" s="15">
        <v>11516</v>
      </c>
      <c r="C952" s="16" t="s">
        <v>3208</v>
      </c>
      <c r="D952" s="15" t="s">
        <v>3209</v>
      </c>
      <c r="E952" s="17" t="s">
        <v>1293</v>
      </c>
      <c r="F952" s="18" t="s">
        <v>3210</v>
      </c>
      <c r="G952" s="18"/>
      <c r="H952" s="18" t="s">
        <v>1300</v>
      </c>
      <c r="I952" s="14" t="s">
        <v>1294</v>
      </c>
      <c r="J952" s="18"/>
      <c r="K952" s="18"/>
      <c r="M952" s="20" t="str">
        <f t="shared" si="14"/>
        <v>Gallotia intermedia</v>
      </c>
    </row>
    <row r="953" spans="1:13" ht="15" customHeight="1" x14ac:dyDescent="0.2">
      <c r="A953" s="14" t="s">
        <v>71</v>
      </c>
      <c r="B953" s="15">
        <v>12219</v>
      </c>
      <c r="C953" s="16" t="s">
        <v>3211</v>
      </c>
      <c r="D953" s="15" t="s">
        <v>3212</v>
      </c>
      <c r="E953" s="17" t="s">
        <v>1293</v>
      </c>
      <c r="F953" s="18" t="s">
        <v>3213</v>
      </c>
      <c r="G953" s="18"/>
      <c r="H953" s="18" t="s">
        <v>1300</v>
      </c>
      <c r="I953" s="14" t="s">
        <v>1294</v>
      </c>
      <c r="J953" s="18"/>
      <c r="K953" s="18"/>
      <c r="M953" s="20" t="str">
        <f t="shared" si="14"/>
        <v>Gallotia simonyi</v>
      </c>
    </row>
    <row r="954" spans="1:13" ht="15" customHeight="1" x14ac:dyDescent="0.2">
      <c r="A954" s="14" t="s">
        <v>71</v>
      </c>
      <c r="B954" s="15">
        <v>12242</v>
      </c>
      <c r="C954" s="16" t="s">
        <v>3214</v>
      </c>
      <c r="D954" s="15" t="s">
        <v>3215</v>
      </c>
      <c r="E954" s="17" t="s">
        <v>1293</v>
      </c>
      <c r="F954" s="18" t="s">
        <v>3216</v>
      </c>
      <c r="G954" s="18"/>
      <c r="H954" s="18" t="s">
        <v>547</v>
      </c>
      <c r="I954" s="14" t="s">
        <v>1294</v>
      </c>
      <c r="J954" s="18"/>
      <c r="K954" s="18"/>
      <c r="M954" s="20" t="str">
        <f t="shared" si="14"/>
        <v>Gallotia stehlini</v>
      </c>
    </row>
    <row r="955" spans="1:13" ht="16.5" customHeight="1" x14ac:dyDescent="0.2">
      <c r="A955" s="14" t="s">
        <v>71</v>
      </c>
      <c r="B955" s="15">
        <v>12351</v>
      </c>
      <c r="C955" s="16" t="s">
        <v>666</v>
      </c>
      <c r="D955" s="14" t="s">
        <v>3217</v>
      </c>
      <c r="E955" s="17" t="s">
        <v>1293</v>
      </c>
      <c r="F955" s="18" t="s">
        <v>667</v>
      </c>
      <c r="G955" s="18" t="s">
        <v>1324</v>
      </c>
      <c r="H955" s="18" t="s">
        <v>547</v>
      </c>
      <c r="I955" s="14" t="s">
        <v>1294</v>
      </c>
      <c r="J955" s="18"/>
      <c r="K955" s="18"/>
      <c r="M955" s="20" t="str">
        <f t="shared" si="14"/>
        <v>Hemidactylus turcicus</v>
      </c>
    </row>
    <row r="956" spans="1:13" ht="15" customHeight="1" x14ac:dyDescent="0.2">
      <c r="A956" s="14" t="s">
        <v>71</v>
      </c>
      <c r="B956" s="15">
        <v>11448</v>
      </c>
      <c r="C956" s="16" t="s">
        <v>3218</v>
      </c>
      <c r="D956" s="14" t="s">
        <v>3219</v>
      </c>
      <c r="E956" s="17" t="s">
        <v>1293</v>
      </c>
      <c r="F956" s="18" t="s">
        <v>679</v>
      </c>
      <c r="G956" s="18"/>
      <c r="H956" s="18" t="s">
        <v>547</v>
      </c>
      <c r="I956" s="14" t="s">
        <v>1294</v>
      </c>
      <c r="J956" s="18"/>
      <c r="K956" s="18"/>
      <c r="M956" s="20" t="str">
        <f t="shared" si="14"/>
        <v>Hemorrhois hippocrepis (antes Coluber hippocrepis)</v>
      </c>
    </row>
    <row r="957" spans="1:13" ht="15" customHeight="1" x14ac:dyDescent="0.2">
      <c r="A957" s="14" t="s">
        <v>71</v>
      </c>
      <c r="B957" s="15">
        <v>12402</v>
      </c>
      <c r="C957" s="16" t="s">
        <v>3220</v>
      </c>
      <c r="D957" s="14" t="s">
        <v>3221</v>
      </c>
      <c r="E957" s="17" t="s">
        <v>1293</v>
      </c>
      <c r="F957" s="18" t="s">
        <v>3222</v>
      </c>
      <c r="G957" s="18"/>
      <c r="H957" s="18" t="s">
        <v>547</v>
      </c>
      <c r="I957" s="14" t="s">
        <v>1294</v>
      </c>
      <c r="J957" s="18"/>
      <c r="K957" s="18"/>
      <c r="M957" s="20" t="str">
        <f t="shared" si="14"/>
        <v>Hierophis viridiflavus (antes Coluber viridiflavus)</v>
      </c>
    </row>
    <row r="958" spans="1:13" ht="15" customHeight="1" x14ac:dyDescent="0.2">
      <c r="A958" s="14" t="s">
        <v>71</v>
      </c>
      <c r="B958" s="15">
        <v>10748</v>
      </c>
      <c r="C958" s="16" t="s">
        <v>3223</v>
      </c>
      <c r="D958" s="14" t="s">
        <v>3224</v>
      </c>
      <c r="E958" s="17" t="s">
        <v>1293</v>
      </c>
      <c r="F958" s="18" t="s">
        <v>3225</v>
      </c>
      <c r="G958" s="18"/>
      <c r="H958" s="18" t="s">
        <v>1300</v>
      </c>
      <c r="I958" s="14" t="s">
        <v>1294</v>
      </c>
      <c r="J958" s="18"/>
      <c r="K958" s="18"/>
      <c r="M958" s="20" t="str">
        <f t="shared" si="14"/>
        <v>Iberolacerta aranica (antes Lacerta aranica)</v>
      </c>
    </row>
    <row r="959" spans="1:13" ht="15" customHeight="1" x14ac:dyDescent="0.2">
      <c r="A959" s="14" t="s">
        <v>71</v>
      </c>
      <c r="B959" s="15">
        <v>10712</v>
      </c>
      <c r="C959" s="16" t="s">
        <v>3226</v>
      </c>
      <c r="D959" s="14" t="s">
        <v>3227</v>
      </c>
      <c r="E959" s="17" t="s">
        <v>1293</v>
      </c>
      <c r="F959" s="18" t="s">
        <v>3228</v>
      </c>
      <c r="G959" s="18"/>
      <c r="H959" s="18" t="s">
        <v>1300</v>
      </c>
      <c r="I959" s="14" t="s">
        <v>1294</v>
      </c>
      <c r="J959" s="18"/>
      <c r="K959" s="18"/>
      <c r="M959" s="20" t="str">
        <f t="shared" si="14"/>
        <v>Iberolacerta aurelioi (antes Lacerta aurelioi)</v>
      </c>
    </row>
    <row r="960" spans="1:13" s="27" customFormat="1" ht="15" customHeight="1" x14ac:dyDescent="0.2">
      <c r="A960" s="14" t="s">
        <v>71</v>
      </c>
      <c r="B960" s="15">
        <v>10726</v>
      </c>
      <c r="C960" s="16" t="s">
        <v>3229</v>
      </c>
      <c r="D960" s="14" t="s">
        <v>3230</v>
      </c>
      <c r="E960" s="17" t="s">
        <v>1293</v>
      </c>
      <c r="F960" s="18" t="s">
        <v>3231</v>
      </c>
      <c r="G960" s="18"/>
      <c r="H960" s="18" t="s">
        <v>562</v>
      </c>
      <c r="I960" s="14" t="s">
        <v>1294</v>
      </c>
      <c r="J960" s="18"/>
      <c r="K960" s="18"/>
      <c r="M960" s="20" t="str">
        <f t="shared" si="14"/>
        <v>Iberolacerta bonnali (antes Lacerta bonnali)</v>
      </c>
    </row>
    <row r="961" spans="1:13" ht="14.25" customHeight="1" x14ac:dyDescent="0.2">
      <c r="A961" s="14" t="s">
        <v>71</v>
      </c>
      <c r="B961" s="15">
        <v>11123</v>
      </c>
      <c r="C961" s="16" t="s">
        <v>3232</v>
      </c>
      <c r="D961" s="14" t="s">
        <v>3233</v>
      </c>
      <c r="E961" s="17" t="s">
        <v>1293</v>
      </c>
      <c r="F961" s="18" t="s">
        <v>3234</v>
      </c>
      <c r="G961" s="18"/>
      <c r="H961" s="18" t="s">
        <v>547</v>
      </c>
      <c r="I961" s="14" t="s">
        <v>1294</v>
      </c>
      <c r="J961" s="18"/>
      <c r="K961" s="18"/>
      <c r="M961" s="20" t="str">
        <f t="shared" si="14"/>
        <v>Iberolacerta cyreni</v>
      </c>
    </row>
    <row r="962" spans="1:13" ht="15" customHeight="1" x14ac:dyDescent="0.2">
      <c r="A962" s="14" t="s">
        <v>71</v>
      </c>
      <c r="B962" s="15">
        <v>11330</v>
      </c>
      <c r="C962" s="16" t="s">
        <v>3235</v>
      </c>
      <c r="D962" s="14" t="s">
        <v>3236</v>
      </c>
      <c r="E962" s="17" t="s">
        <v>1293</v>
      </c>
      <c r="F962" s="18" t="s">
        <v>3237</v>
      </c>
      <c r="G962" s="18"/>
      <c r="H962" s="18" t="s">
        <v>562</v>
      </c>
      <c r="I962" s="14" t="s">
        <v>1449</v>
      </c>
      <c r="J962" s="18" t="s">
        <v>3238</v>
      </c>
      <c r="K962" s="35"/>
      <c r="M962" s="20" t="str">
        <f t="shared" si="14"/>
        <v>Iberolacerta galani (antes incluida en Iberolacerta monticola)</v>
      </c>
    </row>
    <row r="963" spans="1:13" ht="15" customHeight="1" x14ac:dyDescent="0.2">
      <c r="A963" s="14" t="s">
        <v>71</v>
      </c>
      <c r="B963" s="15">
        <v>11779</v>
      </c>
      <c r="C963" s="16" t="s">
        <v>3239</v>
      </c>
      <c r="D963" s="16" t="s">
        <v>3240</v>
      </c>
      <c r="E963" s="17" t="s">
        <v>1293</v>
      </c>
      <c r="F963" s="18" t="s">
        <v>3241</v>
      </c>
      <c r="G963" s="18"/>
      <c r="H963" s="18" t="s">
        <v>547</v>
      </c>
      <c r="I963" s="14" t="s">
        <v>1294</v>
      </c>
      <c r="J963" s="18"/>
      <c r="K963" s="18"/>
      <c r="M963" s="20" t="str">
        <f t="shared" ref="M963:M995" si="15">TRIM(C963)</f>
        <v>Iberolacerta monticola (antes Lacerta monticola)</v>
      </c>
    </row>
    <row r="964" spans="1:13" ht="15" customHeight="1" x14ac:dyDescent="0.2">
      <c r="A964" s="14" t="s">
        <v>71</v>
      </c>
      <c r="B964" s="15">
        <v>11034</v>
      </c>
      <c r="C964" s="16" t="s">
        <v>3242</v>
      </c>
      <c r="D964" s="14" t="s">
        <v>3243</v>
      </c>
      <c r="E964" s="17" t="s">
        <v>1293</v>
      </c>
      <c r="F964" s="18" t="s">
        <v>3244</v>
      </c>
      <c r="G964" s="18"/>
      <c r="H964" s="18" t="s">
        <v>1300</v>
      </c>
      <c r="I964" s="14" t="s">
        <v>1294</v>
      </c>
      <c r="J964" s="18"/>
      <c r="K964" s="18"/>
      <c r="M964" s="20" t="str">
        <f t="shared" si="15"/>
        <v>Lacerta agilis</v>
      </c>
    </row>
    <row r="965" spans="1:13" ht="15" customHeight="1" x14ac:dyDescent="0.2">
      <c r="A965" s="14" t="s">
        <v>71</v>
      </c>
      <c r="B965" s="15">
        <v>10852</v>
      </c>
      <c r="C965" s="16" t="s">
        <v>3245</v>
      </c>
      <c r="D965" s="14" t="s">
        <v>3246</v>
      </c>
      <c r="E965" s="17" t="s">
        <v>1293</v>
      </c>
      <c r="F965" s="18" t="s">
        <v>3247</v>
      </c>
      <c r="G965" s="18"/>
      <c r="H965" s="18" t="s">
        <v>547</v>
      </c>
      <c r="I965" s="14" t="s">
        <v>1294</v>
      </c>
      <c r="J965" s="18"/>
      <c r="K965" s="18"/>
      <c r="M965" s="20" t="str">
        <f t="shared" si="15"/>
        <v>Lacerta bilineata (=Lacerta viridis bilineata)</v>
      </c>
    </row>
    <row r="966" spans="1:13" ht="15" customHeight="1" x14ac:dyDescent="0.2">
      <c r="A966" s="14" t="s">
        <v>71</v>
      </c>
      <c r="B966" s="15">
        <v>12168</v>
      </c>
      <c r="C966" s="16" t="s">
        <v>1168</v>
      </c>
      <c r="D966" s="14" t="s">
        <v>3248</v>
      </c>
      <c r="E966" s="17" t="s">
        <v>1293</v>
      </c>
      <c r="F966" s="18" t="s">
        <v>1169</v>
      </c>
      <c r="G966" s="18"/>
      <c r="H966" s="18" t="s">
        <v>547</v>
      </c>
      <c r="I966" s="14" t="s">
        <v>1294</v>
      </c>
      <c r="J966" s="18"/>
      <c r="K966" s="18"/>
      <c r="M966" s="20" t="str">
        <f t="shared" si="15"/>
        <v>Lacerta schreiberi</v>
      </c>
    </row>
    <row r="967" spans="1:13" ht="15" customHeight="1" x14ac:dyDescent="0.2">
      <c r="A967" s="14" t="s">
        <v>71</v>
      </c>
      <c r="B967" s="15">
        <v>11545</v>
      </c>
      <c r="C967" s="16" t="s">
        <v>3249</v>
      </c>
      <c r="D967" s="14" t="s">
        <v>3250</v>
      </c>
      <c r="E967" s="17" t="s">
        <v>1293</v>
      </c>
      <c r="F967" s="18" t="s">
        <v>3251</v>
      </c>
      <c r="G967" s="18"/>
      <c r="H967" s="18" t="s">
        <v>547</v>
      </c>
      <c r="I967" s="14" t="s">
        <v>1294</v>
      </c>
      <c r="J967" s="18"/>
      <c r="K967" s="18"/>
      <c r="M967" s="20" t="str">
        <f t="shared" si="15"/>
        <v>Lepidochelys kempii</v>
      </c>
    </row>
    <row r="968" spans="1:13" ht="15" customHeight="1" x14ac:dyDescent="0.2">
      <c r="A968" s="14" t="s">
        <v>71</v>
      </c>
      <c r="B968" s="15">
        <v>16213</v>
      </c>
      <c r="C968" s="16" t="s">
        <v>3252</v>
      </c>
      <c r="D968" s="14" t="s">
        <v>3253</v>
      </c>
      <c r="E968" s="17" t="s">
        <v>1293</v>
      </c>
      <c r="F968" s="18" t="s">
        <v>3254</v>
      </c>
      <c r="G968" s="18"/>
      <c r="H968" s="18" t="s">
        <v>547</v>
      </c>
      <c r="I968" s="14" t="s">
        <v>1449</v>
      </c>
      <c r="J968" s="18"/>
      <c r="K968" s="14"/>
      <c r="M968" s="20" t="str">
        <f t="shared" si="15"/>
        <v>Lepidochelys olivacea</v>
      </c>
    </row>
    <row r="969" spans="1:13" ht="15" customHeight="1" x14ac:dyDescent="0.2">
      <c r="A969" s="14" t="s">
        <v>71</v>
      </c>
      <c r="B969" s="15">
        <v>10913</v>
      </c>
      <c r="C969" s="16" t="s">
        <v>3255</v>
      </c>
      <c r="D969" s="14" t="s">
        <v>3256</v>
      </c>
      <c r="E969" s="17" t="s">
        <v>1293</v>
      </c>
      <c r="F969" s="18" t="s">
        <v>579</v>
      </c>
      <c r="G969" s="18"/>
      <c r="H969" s="18" t="s">
        <v>547</v>
      </c>
      <c r="I969" s="14" t="s">
        <v>1294</v>
      </c>
      <c r="J969" s="18"/>
      <c r="K969" s="18"/>
      <c r="M969" s="20" t="str">
        <f t="shared" si="15"/>
        <v>Macroprotodon brevis (antes M. cucullatus)</v>
      </c>
    </row>
    <row r="970" spans="1:13" ht="14.25" customHeight="1" x14ac:dyDescent="0.2">
      <c r="A970" s="14" t="s">
        <v>71</v>
      </c>
      <c r="B970" s="15">
        <v>11696</v>
      </c>
      <c r="C970" s="16" t="s">
        <v>3257</v>
      </c>
      <c r="D970" s="14" t="s">
        <v>3258</v>
      </c>
      <c r="E970" s="17" t="s">
        <v>1293</v>
      </c>
      <c r="F970" s="18" t="s">
        <v>3259</v>
      </c>
      <c r="G970" s="18"/>
      <c r="H970" s="18" t="s">
        <v>547</v>
      </c>
      <c r="I970" s="14" t="s">
        <v>1294</v>
      </c>
      <c r="J970" s="18"/>
      <c r="K970" s="18"/>
      <c r="M970" s="20" t="str">
        <f t="shared" si="15"/>
        <v>Macroprotodon mauritanicus (antes M. cucullatus)</v>
      </c>
    </row>
    <row r="971" spans="1:13" ht="15" customHeight="1" x14ac:dyDescent="0.2">
      <c r="A971" s="14" t="s">
        <v>71</v>
      </c>
      <c r="B971" s="15">
        <v>11585</v>
      </c>
      <c r="C971" s="16" t="s">
        <v>377</v>
      </c>
      <c r="D971" s="14" t="s">
        <v>3260</v>
      </c>
      <c r="E971" s="17" t="s">
        <v>1293</v>
      </c>
      <c r="F971" s="18" t="s">
        <v>643</v>
      </c>
      <c r="G971" s="18"/>
      <c r="H971" s="18" t="s">
        <v>547</v>
      </c>
      <c r="I971" s="14" t="s">
        <v>1294</v>
      </c>
      <c r="J971" s="18"/>
      <c r="K971" s="18"/>
      <c r="M971" s="20" t="str">
        <f t="shared" si="15"/>
        <v>Mauremys leprosa</v>
      </c>
    </row>
    <row r="972" spans="1:13" ht="15" customHeight="1" x14ac:dyDescent="0.2">
      <c r="A972" s="14" t="s">
        <v>71</v>
      </c>
      <c r="B972" s="15">
        <v>11688</v>
      </c>
      <c r="C972" s="16" t="s">
        <v>589</v>
      </c>
      <c r="D972" s="14" t="s">
        <v>3261</v>
      </c>
      <c r="E972" s="17" t="s">
        <v>1293</v>
      </c>
      <c r="F972" s="18" t="s">
        <v>590</v>
      </c>
      <c r="G972" s="18" t="s">
        <v>3262</v>
      </c>
      <c r="H972" s="18" t="s">
        <v>547</v>
      </c>
      <c r="I972" s="14" t="s">
        <v>1294</v>
      </c>
      <c r="J972" s="18"/>
      <c r="K972" s="18"/>
      <c r="M972" s="20" t="str">
        <f t="shared" si="15"/>
        <v>Natrix maura</v>
      </c>
    </row>
    <row r="973" spans="1:13" s="25" customFormat="1" ht="15" customHeight="1" x14ac:dyDescent="0.2">
      <c r="A973" s="15" t="s">
        <v>71</v>
      </c>
      <c r="B973" s="15">
        <v>11815</v>
      </c>
      <c r="C973" s="21" t="s">
        <v>1176</v>
      </c>
      <c r="D973" s="22" t="s">
        <v>3263</v>
      </c>
      <c r="E973" s="23" t="s">
        <v>1293</v>
      </c>
      <c r="F973" s="24" t="s">
        <v>1177</v>
      </c>
      <c r="G973" s="24"/>
      <c r="H973" s="24" t="s">
        <v>547</v>
      </c>
      <c r="I973" s="15" t="s">
        <v>1294</v>
      </c>
      <c r="J973" s="24"/>
      <c r="K973" s="24"/>
      <c r="M973" s="20" t="str">
        <f t="shared" si="15"/>
        <v>Natrix natrix</v>
      </c>
    </row>
    <row r="974" spans="1:13" s="25" customFormat="1" ht="15" customHeight="1" x14ac:dyDescent="0.2">
      <c r="A974" s="15" t="s">
        <v>71</v>
      </c>
      <c r="B974" s="15">
        <v>11596</v>
      </c>
      <c r="C974" s="21" t="s">
        <v>3264</v>
      </c>
      <c r="D974" s="15" t="s">
        <v>3265</v>
      </c>
      <c r="E974" s="23" t="s">
        <v>1293</v>
      </c>
      <c r="F974" s="24" t="s">
        <v>3266</v>
      </c>
      <c r="G974" s="24"/>
      <c r="H974" s="24" t="s">
        <v>547</v>
      </c>
      <c r="I974" s="15" t="s">
        <v>1294</v>
      </c>
      <c r="J974" s="24"/>
      <c r="K974" s="24"/>
      <c r="M974" s="20" t="str">
        <f t="shared" si="15"/>
        <v>Podarcis lilfordi</v>
      </c>
    </row>
    <row r="975" spans="1:13" s="25" customFormat="1" ht="15" customHeight="1" x14ac:dyDescent="0.2">
      <c r="A975" s="15" t="s">
        <v>71</v>
      </c>
      <c r="B975" s="15">
        <v>11794</v>
      </c>
      <c r="C975" s="21" t="s">
        <v>3267</v>
      </c>
      <c r="D975" s="15" t="s">
        <v>3268</v>
      </c>
      <c r="E975" s="23" t="s">
        <v>1293</v>
      </c>
      <c r="F975" s="24" t="s">
        <v>3269</v>
      </c>
      <c r="G975" s="24"/>
      <c r="H975" s="24" t="s">
        <v>547</v>
      </c>
      <c r="I975" s="15" t="s">
        <v>1294</v>
      </c>
      <c r="J975" s="24"/>
      <c r="K975" s="24"/>
      <c r="M975" s="20" t="str">
        <f t="shared" si="15"/>
        <v>Podarcis muralis</v>
      </c>
    </row>
    <row r="976" spans="1:13" s="25" customFormat="1" ht="15" customHeight="1" x14ac:dyDescent="0.2">
      <c r="A976" s="15" t="s">
        <v>71</v>
      </c>
      <c r="B976" s="15">
        <v>11995</v>
      </c>
      <c r="C976" s="21" t="s">
        <v>3270</v>
      </c>
      <c r="D976" s="15" t="s">
        <v>3271</v>
      </c>
      <c r="E976" s="23" t="s">
        <v>1293</v>
      </c>
      <c r="F976" s="24" t="s">
        <v>3272</v>
      </c>
      <c r="G976" s="24"/>
      <c r="H976" s="24" t="s">
        <v>547</v>
      </c>
      <c r="I976" s="15" t="s">
        <v>1294</v>
      </c>
      <c r="J976" s="24"/>
      <c r="K976" s="24"/>
      <c r="M976" s="20" t="str">
        <f t="shared" si="15"/>
        <v>Podarcis pityusensis</v>
      </c>
    </row>
    <row r="977" spans="1:13" s="25" customFormat="1" ht="15" customHeight="1" x14ac:dyDescent="0.2">
      <c r="A977" s="15" t="s">
        <v>71</v>
      </c>
      <c r="B977" s="15">
        <v>12208</v>
      </c>
      <c r="C977" s="21" t="s">
        <v>3273</v>
      </c>
      <c r="D977" s="22" t="s">
        <v>3274</v>
      </c>
      <c r="E977" s="23" t="s">
        <v>1293</v>
      </c>
      <c r="F977" s="24" t="s">
        <v>3275</v>
      </c>
      <c r="G977" s="24" t="s">
        <v>3276</v>
      </c>
      <c r="H977" s="24" t="s">
        <v>547</v>
      </c>
      <c r="I977" s="15" t="s">
        <v>1294</v>
      </c>
      <c r="J977" s="24"/>
      <c r="K977" s="24"/>
      <c r="M977" s="20" t="str">
        <f t="shared" si="15"/>
        <v>Podarcis sicula</v>
      </c>
    </row>
    <row r="978" spans="1:13" s="25" customFormat="1" ht="15" customHeight="1" x14ac:dyDescent="0.2">
      <c r="A978" s="15" t="s">
        <v>71</v>
      </c>
      <c r="B978" s="15">
        <v>12385</v>
      </c>
      <c r="C978" s="21" t="s">
        <v>3277</v>
      </c>
      <c r="D978" s="15" t="s">
        <v>3278</v>
      </c>
      <c r="E978" s="23" t="s">
        <v>1293</v>
      </c>
      <c r="F978" s="24" t="s">
        <v>1170</v>
      </c>
      <c r="G978" s="24"/>
      <c r="H978" s="24" t="s">
        <v>547</v>
      </c>
      <c r="I978" s="15" t="s">
        <v>1294</v>
      </c>
      <c r="J978" s="24"/>
      <c r="K978" s="24"/>
      <c r="M978" s="20" t="str">
        <f t="shared" si="15"/>
        <v>Podarcis vaucheri (antes Podarcis hispanica)</v>
      </c>
    </row>
    <row r="979" spans="1:13" ht="15" customHeight="1" x14ac:dyDescent="0.2">
      <c r="A979" s="14" t="s">
        <v>71</v>
      </c>
      <c r="B979" s="15">
        <v>10670</v>
      </c>
      <c r="C979" s="16" t="s">
        <v>72</v>
      </c>
      <c r="D979" s="14" t="s">
        <v>3279</v>
      </c>
      <c r="E979" s="17" t="s">
        <v>1293</v>
      </c>
      <c r="F979" s="18" t="s">
        <v>554</v>
      </c>
      <c r="G979" s="18"/>
      <c r="H979" s="18" t="s">
        <v>547</v>
      </c>
      <c r="I979" s="14" t="s">
        <v>1294</v>
      </c>
      <c r="J979" s="18"/>
      <c r="K979" s="18"/>
      <c r="M979" s="20" t="str">
        <f t="shared" si="15"/>
        <v>Psammodromus algirus</v>
      </c>
    </row>
    <row r="980" spans="1:13" ht="15" customHeight="1" x14ac:dyDescent="0.2">
      <c r="A980" s="14" t="s">
        <v>71</v>
      </c>
      <c r="B980" s="15">
        <v>11461</v>
      </c>
      <c r="C980" s="16" t="s">
        <v>1171</v>
      </c>
      <c r="D980" s="14" t="s">
        <v>3280</v>
      </c>
      <c r="E980" s="17" t="s">
        <v>1293</v>
      </c>
      <c r="F980" s="18" t="s">
        <v>1172</v>
      </c>
      <c r="G980" s="18"/>
      <c r="H980" s="18" t="s">
        <v>547</v>
      </c>
      <c r="I980" s="14" t="s">
        <v>1294</v>
      </c>
      <c r="J980" s="18"/>
      <c r="K980" s="18"/>
      <c r="M980" s="20" t="str">
        <f t="shared" si="15"/>
        <v>Psammodromus hispanicus</v>
      </c>
    </row>
    <row r="981" spans="1:13" ht="15" customHeight="1" x14ac:dyDescent="0.2">
      <c r="A981" s="14" t="s">
        <v>71</v>
      </c>
      <c r="B981" s="15">
        <v>33095</v>
      </c>
      <c r="C981" s="16" t="s">
        <v>3281</v>
      </c>
      <c r="D981" s="15" t="s">
        <v>3282</v>
      </c>
      <c r="E981" s="17" t="s">
        <v>1293</v>
      </c>
      <c r="F981" s="18" t="s">
        <v>1178</v>
      </c>
      <c r="G981" s="18"/>
      <c r="H981" s="18" t="s">
        <v>547</v>
      </c>
      <c r="I981" s="14" t="s">
        <v>1294</v>
      </c>
      <c r="J981" s="18"/>
      <c r="K981" s="18"/>
      <c r="M981" s="20" t="str">
        <f t="shared" si="15"/>
        <v>Rhinechis scalaris (antes Elaphe scalaris)</v>
      </c>
    </row>
    <row r="982" spans="1:13" ht="15" customHeight="1" x14ac:dyDescent="0.2">
      <c r="A982" s="14" t="s">
        <v>71</v>
      </c>
      <c r="B982" s="15">
        <v>10695</v>
      </c>
      <c r="C982" s="16" t="s">
        <v>3283</v>
      </c>
      <c r="D982" s="14" t="s">
        <v>3284</v>
      </c>
      <c r="E982" s="17" t="s">
        <v>1293</v>
      </c>
      <c r="F982" s="18" t="s">
        <v>3285</v>
      </c>
      <c r="G982" s="18"/>
      <c r="H982" s="18" t="s">
        <v>547</v>
      </c>
      <c r="I982" s="14" t="s">
        <v>1294</v>
      </c>
      <c r="J982" s="18"/>
      <c r="K982" s="18"/>
      <c r="M982" s="20" t="str">
        <f t="shared" si="15"/>
        <v>Tarentola angustimentalis</v>
      </c>
    </row>
    <row r="983" spans="1:13" ht="15" customHeight="1" x14ac:dyDescent="0.2">
      <c r="A983" s="14" t="s">
        <v>71</v>
      </c>
      <c r="B983" s="15">
        <v>10870</v>
      </c>
      <c r="C983" s="16" t="s">
        <v>3286</v>
      </c>
      <c r="D983" s="14" t="s">
        <v>3287</v>
      </c>
      <c r="E983" s="17" t="s">
        <v>1293</v>
      </c>
      <c r="F983" s="18" t="s">
        <v>3288</v>
      </c>
      <c r="G983" s="18"/>
      <c r="H983" s="18" t="s">
        <v>547</v>
      </c>
      <c r="I983" s="14" t="s">
        <v>1294</v>
      </c>
      <c r="J983" s="18"/>
      <c r="K983" s="18"/>
      <c r="M983" s="20" t="str">
        <f t="shared" si="15"/>
        <v>Tarentola boettgeri</v>
      </c>
    </row>
    <row r="984" spans="1:13" ht="15" customHeight="1" x14ac:dyDescent="0.2">
      <c r="A984" s="14" t="s">
        <v>71</v>
      </c>
      <c r="B984" s="15">
        <v>11141</v>
      </c>
      <c r="C984" s="16" t="s">
        <v>3289</v>
      </c>
      <c r="D984" s="14" t="s">
        <v>3290</v>
      </c>
      <c r="E984" s="17" t="s">
        <v>1293</v>
      </c>
      <c r="F984" s="18" t="s">
        <v>3291</v>
      </c>
      <c r="G984" s="18"/>
      <c r="H984" s="18" t="s">
        <v>547</v>
      </c>
      <c r="I984" s="14" t="s">
        <v>1294</v>
      </c>
      <c r="J984" s="18"/>
      <c r="K984" s="18"/>
      <c r="M984" s="20" t="str">
        <f t="shared" si="15"/>
        <v>Tarentola delalandii</v>
      </c>
    </row>
    <row r="985" spans="1:13" ht="15" customHeight="1" x14ac:dyDescent="0.2">
      <c r="A985" s="14" t="s">
        <v>71</v>
      </c>
      <c r="B985" s="15">
        <v>11379</v>
      </c>
      <c r="C985" s="16" t="s">
        <v>3292</v>
      </c>
      <c r="D985" s="14" t="s">
        <v>3293</v>
      </c>
      <c r="E985" s="17" t="s">
        <v>1293</v>
      </c>
      <c r="F985" s="18" t="s">
        <v>3294</v>
      </c>
      <c r="G985" s="18"/>
      <c r="H985" s="18" t="s">
        <v>547</v>
      </c>
      <c r="I985" s="14" t="s">
        <v>1294</v>
      </c>
      <c r="J985" s="18"/>
      <c r="K985" s="18"/>
      <c r="M985" s="20" t="str">
        <f t="shared" si="15"/>
        <v>Tarentola gomerensis</v>
      </c>
    </row>
    <row r="986" spans="1:13" ht="15" customHeight="1" x14ac:dyDescent="0.2">
      <c r="A986" s="14" t="s">
        <v>71</v>
      </c>
      <c r="B986" s="15">
        <v>11692</v>
      </c>
      <c r="C986" s="16" t="s">
        <v>550</v>
      </c>
      <c r="D986" s="14" t="s">
        <v>3295</v>
      </c>
      <c r="E986" s="17" t="s">
        <v>1293</v>
      </c>
      <c r="F986" s="18" t="s">
        <v>551</v>
      </c>
      <c r="G986" s="18"/>
      <c r="H986" s="18" t="s">
        <v>547</v>
      </c>
      <c r="I986" s="14" t="s">
        <v>1294</v>
      </c>
      <c r="J986" s="18"/>
      <c r="K986" s="18"/>
      <c r="M986" s="20" t="str">
        <f t="shared" si="15"/>
        <v>Tarentola mauritanica</v>
      </c>
    </row>
    <row r="987" spans="1:13" ht="15" customHeight="1" x14ac:dyDescent="0.2">
      <c r="A987" s="14" t="s">
        <v>71</v>
      </c>
      <c r="B987" s="15">
        <v>11385</v>
      </c>
      <c r="C987" s="16" t="s">
        <v>1149</v>
      </c>
      <c r="D987" s="14" t="s">
        <v>3296</v>
      </c>
      <c r="E987" s="17" t="s">
        <v>1293</v>
      </c>
      <c r="F987" s="18" t="s">
        <v>1150</v>
      </c>
      <c r="G987" s="18"/>
      <c r="H987" s="18" t="s">
        <v>562</v>
      </c>
      <c r="I987" s="14" t="s">
        <v>1294</v>
      </c>
      <c r="J987" s="18"/>
      <c r="K987" s="18"/>
      <c r="M987" s="20" t="str">
        <f t="shared" si="15"/>
        <v>Testudo graeca</v>
      </c>
    </row>
    <row r="988" spans="1:13" ht="15" customHeight="1" x14ac:dyDescent="0.2">
      <c r="A988" s="14" t="s">
        <v>71</v>
      </c>
      <c r="B988" s="15">
        <v>11434</v>
      </c>
      <c r="C988" s="16" t="s">
        <v>3297</v>
      </c>
      <c r="D988" s="14" t="s">
        <v>3298</v>
      </c>
      <c r="E988" s="17" t="s">
        <v>1293</v>
      </c>
      <c r="F988" s="18" t="s">
        <v>3299</v>
      </c>
      <c r="G988" s="18" t="s">
        <v>1955</v>
      </c>
      <c r="H988" s="18" t="s">
        <v>547</v>
      </c>
      <c r="I988" s="14" t="s">
        <v>1294</v>
      </c>
      <c r="J988" s="18"/>
      <c r="K988" s="18"/>
      <c r="M988" s="20" t="str">
        <f t="shared" si="15"/>
        <v>Testudo hermanni</v>
      </c>
    </row>
    <row r="989" spans="1:13" ht="15" customHeight="1" x14ac:dyDescent="0.2">
      <c r="A989" s="14" t="s">
        <v>71</v>
      </c>
      <c r="B989" s="15">
        <v>11434</v>
      </c>
      <c r="C989" s="16" t="s">
        <v>3297</v>
      </c>
      <c r="D989" s="14" t="s">
        <v>3298</v>
      </c>
      <c r="E989" s="17" t="s">
        <v>1293</v>
      </c>
      <c r="F989" s="18" t="s">
        <v>3299</v>
      </c>
      <c r="G989" s="18" t="s">
        <v>1508</v>
      </c>
      <c r="H989" s="18" t="s">
        <v>1300</v>
      </c>
      <c r="I989" s="14" t="s">
        <v>1294</v>
      </c>
      <c r="J989" s="18"/>
      <c r="K989" s="18"/>
      <c r="M989" s="20" t="str">
        <f t="shared" si="15"/>
        <v>Testudo hermanni</v>
      </c>
    </row>
    <row r="990" spans="1:13" ht="15" customHeight="1" x14ac:dyDescent="0.2">
      <c r="A990" s="14" t="s">
        <v>71</v>
      </c>
      <c r="B990" s="15">
        <v>11582</v>
      </c>
      <c r="C990" s="16" t="s">
        <v>3300</v>
      </c>
      <c r="D990" s="15" t="s">
        <v>3301</v>
      </c>
      <c r="E990" s="17" t="s">
        <v>1293</v>
      </c>
      <c r="F990" s="18" t="s">
        <v>610</v>
      </c>
      <c r="G990" s="18"/>
      <c r="H990" s="18" t="s">
        <v>547</v>
      </c>
      <c r="I990" s="14" t="s">
        <v>1294</v>
      </c>
      <c r="J990" s="18"/>
      <c r="K990" s="18"/>
      <c r="M990" s="20" t="str">
        <f t="shared" si="15"/>
        <v>Timon lepidus (antes Lacerta lepida)</v>
      </c>
    </row>
    <row r="991" spans="1:13" ht="15" customHeight="1" x14ac:dyDescent="0.2">
      <c r="A991" s="14" t="s">
        <v>71</v>
      </c>
      <c r="B991" s="15">
        <v>12291</v>
      </c>
      <c r="C991" s="16" t="s">
        <v>3302</v>
      </c>
      <c r="D991" s="15" t="s">
        <v>3303</v>
      </c>
      <c r="E991" s="17" t="s">
        <v>1293</v>
      </c>
      <c r="F991" s="18" t="s">
        <v>3304</v>
      </c>
      <c r="G991" s="18"/>
      <c r="H991" s="18" t="s">
        <v>547</v>
      </c>
      <c r="I991" s="14" t="s">
        <v>1294</v>
      </c>
      <c r="J991" s="18"/>
      <c r="K991" s="18"/>
      <c r="M991" s="20" t="str">
        <f t="shared" si="15"/>
        <v>Timon tangitanus (antes Lacerta tangitana)</v>
      </c>
    </row>
    <row r="992" spans="1:13" ht="16.5" customHeight="1" x14ac:dyDescent="0.2">
      <c r="A992" s="14" t="s">
        <v>71</v>
      </c>
      <c r="B992" s="15">
        <v>12426</v>
      </c>
      <c r="C992" s="16" t="s">
        <v>3305</v>
      </c>
      <c r="D992" s="15" t="s">
        <v>3306</v>
      </c>
      <c r="E992" s="17" t="s">
        <v>1293</v>
      </c>
      <c r="F992" s="18" t="s">
        <v>3307</v>
      </c>
      <c r="G992" s="18"/>
      <c r="H992" s="18" t="s">
        <v>547</v>
      </c>
      <c r="I992" s="14" t="s">
        <v>1294</v>
      </c>
      <c r="J992" s="18"/>
      <c r="K992" s="18"/>
      <c r="M992" s="20" t="str">
        <f t="shared" si="15"/>
        <v>Trogonophis wiegmanni elegans</v>
      </c>
    </row>
    <row r="993" spans="1:13" ht="15" customHeight="1" x14ac:dyDescent="0.2">
      <c r="A993" s="14" t="s">
        <v>71</v>
      </c>
      <c r="B993" s="15">
        <v>11567</v>
      </c>
      <c r="C993" s="16" t="s">
        <v>552</v>
      </c>
      <c r="D993" s="15" t="s">
        <v>3308</v>
      </c>
      <c r="E993" s="17" t="s">
        <v>1293</v>
      </c>
      <c r="F993" s="18" t="s">
        <v>553</v>
      </c>
      <c r="G993" s="18"/>
      <c r="H993" s="18" t="s">
        <v>547</v>
      </c>
      <c r="I993" s="14" t="s">
        <v>1294</v>
      </c>
      <c r="J993" s="18"/>
      <c r="K993" s="18"/>
      <c r="M993" s="20" t="str">
        <f t="shared" si="15"/>
        <v>Vipera latastei</v>
      </c>
    </row>
    <row r="994" spans="1:13" ht="15" customHeight="1" x14ac:dyDescent="0.2">
      <c r="A994" s="14" t="s">
        <v>71</v>
      </c>
      <c r="B994" s="15">
        <v>11616</v>
      </c>
      <c r="C994" s="16" t="s">
        <v>3309</v>
      </c>
      <c r="D994" s="15" t="s">
        <v>3310</v>
      </c>
      <c r="E994" s="17" t="s">
        <v>1293</v>
      </c>
      <c r="F994" s="18" t="s">
        <v>3311</v>
      </c>
      <c r="G994" s="18"/>
      <c r="H994" s="18" t="s">
        <v>547</v>
      </c>
      <c r="I994" s="14" t="s">
        <v>1294</v>
      </c>
      <c r="J994" s="18"/>
      <c r="K994" s="18"/>
      <c r="M994" s="20" t="str">
        <f t="shared" si="15"/>
        <v>Zamenis longissimus (antes Elaphe longissima)</v>
      </c>
    </row>
    <row r="995" spans="1:13" ht="15" customHeight="1" x14ac:dyDescent="0.2">
      <c r="A995" s="14" t="s">
        <v>71</v>
      </c>
      <c r="B995" s="15">
        <v>12411</v>
      </c>
      <c r="C995" s="16" t="s">
        <v>3312</v>
      </c>
      <c r="D995" s="15" t="s">
        <v>3313</v>
      </c>
      <c r="E995" s="17" t="s">
        <v>1293</v>
      </c>
      <c r="F995" s="18" t="s">
        <v>3314</v>
      </c>
      <c r="G995" s="18"/>
      <c r="H995" s="18" t="s">
        <v>547</v>
      </c>
      <c r="I995" s="14" t="s">
        <v>1294</v>
      </c>
      <c r="J995" s="18"/>
      <c r="K995" s="18"/>
      <c r="M995" s="20" t="str">
        <f t="shared" si="15"/>
        <v>Zootoca vivipara</v>
      </c>
    </row>
    <row r="996" spans="1:13" ht="15" customHeight="1" x14ac:dyDescent="0.2">
      <c r="K996" s="71"/>
    </row>
    <row r="997" spans="1:13" ht="38.25" x14ac:dyDescent="0.2">
      <c r="C997" s="92" t="s">
        <v>3315</v>
      </c>
    </row>
    <row r="998" spans="1:13" x14ac:dyDescent="0.2">
      <c r="B998" s="93">
        <v>79323</v>
      </c>
      <c r="C998" s="94"/>
      <c r="D998" s="95" t="s">
        <v>3316</v>
      </c>
    </row>
    <row r="999" spans="1:13" x14ac:dyDescent="0.2">
      <c r="B999" s="96">
        <v>79315</v>
      </c>
      <c r="C999" s="97"/>
      <c r="D999" s="96" t="s">
        <v>3317</v>
      </c>
    </row>
    <row r="1000" spans="1:13" x14ac:dyDescent="0.2">
      <c r="B1000" s="96">
        <v>79316</v>
      </c>
      <c r="C1000" s="97"/>
      <c r="D1000" s="96" t="s">
        <v>3318</v>
      </c>
    </row>
    <row r="1001" spans="1:13" x14ac:dyDescent="0.2">
      <c r="B1001" s="96">
        <v>79317</v>
      </c>
      <c r="C1001" s="97"/>
      <c r="D1001" s="96" t="s">
        <v>3319</v>
      </c>
    </row>
    <row r="1002" spans="1:13" x14ac:dyDescent="0.2">
      <c r="B1002" s="96">
        <v>79324</v>
      </c>
      <c r="C1002" s="97"/>
      <c r="D1002" s="96" t="s">
        <v>3320</v>
      </c>
    </row>
    <row r="1003" spans="1:13" x14ac:dyDescent="0.2">
      <c r="B1003" s="96">
        <v>79325</v>
      </c>
      <c r="C1003" s="97"/>
      <c r="D1003" s="96" t="s">
        <v>3321</v>
      </c>
    </row>
    <row r="1004" spans="1:13" x14ac:dyDescent="0.2">
      <c r="B1004" s="96">
        <v>79318</v>
      </c>
      <c r="C1004" s="97"/>
      <c r="D1004" s="96" t="s">
        <v>3322</v>
      </c>
    </row>
    <row r="1005" spans="1:13" x14ac:dyDescent="0.2">
      <c r="B1005" s="98">
        <v>13099</v>
      </c>
      <c r="C1005" s="97"/>
      <c r="D1005" s="98" t="s">
        <v>3323</v>
      </c>
    </row>
    <row r="1006" spans="1:13" ht="25.5" x14ac:dyDescent="0.2">
      <c r="B1006" s="96">
        <v>79326</v>
      </c>
      <c r="C1006" s="99" t="s">
        <v>3324</v>
      </c>
      <c r="D1006" s="96" t="s">
        <v>3325</v>
      </c>
    </row>
    <row r="1007" spans="1:13" x14ac:dyDescent="0.2">
      <c r="B1007" s="98">
        <v>13103</v>
      </c>
      <c r="C1007" s="97"/>
      <c r="D1007" s="98" t="s">
        <v>3326</v>
      </c>
    </row>
    <row r="1008" spans="1:13" x14ac:dyDescent="0.2">
      <c r="B1008" s="96">
        <v>79327</v>
      </c>
      <c r="C1008" s="97"/>
      <c r="D1008" s="96" t="s">
        <v>3327</v>
      </c>
    </row>
    <row r="1009" spans="2:5" x14ac:dyDescent="0.2">
      <c r="B1009" s="96">
        <v>79319</v>
      </c>
      <c r="C1009" s="97"/>
      <c r="D1009" s="96" t="s">
        <v>3328</v>
      </c>
    </row>
    <row r="1010" spans="2:5" x14ac:dyDescent="0.2">
      <c r="B1010" s="96">
        <v>79320</v>
      </c>
      <c r="C1010" s="97"/>
      <c r="D1010" s="96" t="s">
        <v>3329</v>
      </c>
    </row>
    <row r="1011" spans="2:5" x14ac:dyDescent="0.2">
      <c r="B1011" s="96">
        <v>79321</v>
      </c>
      <c r="C1011" s="97"/>
      <c r="D1011" s="96" t="s">
        <v>3330</v>
      </c>
    </row>
    <row r="1012" spans="2:5" x14ac:dyDescent="0.2">
      <c r="B1012" s="96">
        <v>79322</v>
      </c>
      <c r="C1012" s="97"/>
      <c r="D1012" s="96" t="s">
        <v>3331</v>
      </c>
    </row>
    <row r="1013" spans="2:5" x14ac:dyDescent="0.2">
      <c r="B1013" s="98">
        <v>13113</v>
      </c>
      <c r="C1013" s="97"/>
      <c r="D1013" s="98" t="s">
        <v>3332</v>
      </c>
    </row>
    <row r="1014" spans="2:5" x14ac:dyDescent="0.2">
      <c r="B1014" s="96">
        <v>79328</v>
      </c>
      <c r="C1014" s="97"/>
      <c r="D1014" s="96" t="s">
        <v>3333</v>
      </c>
    </row>
    <row r="1015" spans="2:5" x14ac:dyDescent="0.2">
      <c r="B1015" s="98">
        <v>79301</v>
      </c>
      <c r="C1015" s="100"/>
      <c r="D1015" s="98" t="s">
        <v>2061</v>
      </c>
      <c r="E1015" s="101"/>
    </row>
    <row r="1016" spans="2:5" x14ac:dyDescent="0.2">
      <c r="B1016" s="102">
        <v>79329</v>
      </c>
      <c r="C1016" s="103"/>
      <c r="D1016" s="102" t="s">
        <v>3334</v>
      </c>
    </row>
    <row r="1017" spans="2:5" x14ac:dyDescent="0.2">
      <c r="B1017" s="104">
        <v>34205</v>
      </c>
      <c r="C1017" s="105" t="s">
        <v>3335</v>
      </c>
      <c r="D1017" s="106" t="s">
        <v>3336</v>
      </c>
    </row>
    <row r="1018" spans="2:5" x14ac:dyDescent="0.2">
      <c r="B1018" s="107">
        <v>28224</v>
      </c>
      <c r="C1018" s="108"/>
      <c r="D1018" s="109" t="s">
        <v>3337</v>
      </c>
    </row>
    <row r="1019" spans="2:5" x14ac:dyDescent="0.2">
      <c r="B1019" s="104">
        <v>32946</v>
      </c>
      <c r="C1019" s="110"/>
      <c r="D1019" s="111" t="s">
        <v>3338</v>
      </c>
    </row>
    <row r="1020" spans="2:5" x14ac:dyDescent="0.2">
      <c r="B1020" s="107">
        <v>34209</v>
      </c>
      <c r="C1020" s="112" t="s">
        <v>3339</v>
      </c>
      <c r="D1020" s="109" t="s">
        <v>3340</v>
      </c>
    </row>
    <row r="1021" spans="2:5" x14ac:dyDescent="0.2">
      <c r="B1021" s="113">
        <v>36333</v>
      </c>
      <c r="C1021" s="114"/>
      <c r="D1021" s="115" t="s">
        <v>3341</v>
      </c>
    </row>
    <row r="1022" spans="2:5" x14ac:dyDescent="0.2">
      <c r="B1022" s="116">
        <v>15977</v>
      </c>
      <c r="C1022" s="94"/>
      <c r="D1022" s="111" t="s">
        <v>3342</v>
      </c>
    </row>
    <row r="1023" spans="2:5" x14ac:dyDescent="0.2">
      <c r="B1023" s="107">
        <v>15978</v>
      </c>
      <c r="C1023" s="97"/>
      <c r="D1023" s="109" t="s">
        <v>3343</v>
      </c>
    </row>
    <row r="1024" spans="2:5" x14ac:dyDescent="0.2">
      <c r="B1024" s="107">
        <v>15979</v>
      </c>
      <c r="C1024" s="112" t="s">
        <v>3344</v>
      </c>
      <c r="D1024" s="109" t="s">
        <v>3345</v>
      </c>
    </row>
    <row r="1025" spans="2:4" x14ac:dyDescent="0.2">
      <c r="B1025" s="107">
        <v>15980</v>
      </c>
      <c r="C1025" s="97"/>
      <c r="D1025" s="109" t="s">
        <v>3346</v>
      </c>
    </row>
    <row r="1026" spans="2:4" x14ac:dyDescent="0.2">
      <c r="B1026" s="113">
        <v>15981</v>
      </c>
      <c r="C1026" s="103"/>
      <c r="D1026" s="115" t="s">
        <v>3347</v>
      </c>
    </row>
    <row r="1027" spans="2:4" x14ac:dyDescent="0.2">
      <c r="B1027" s="116">
        <v>15991</v>
      </c>
      <c r="C1027" s="105" t="s">
        <v>3348</v>
      </c>
      <c r="D1027" s="111" t="s">
        <v>3349</v>
      </c>
    </row>
    <row r="1028" spans="2:4" x14ac:dyDescent="0.2">
      <c r="B1028" s="113">
        <v>15992</v>
      </c>
      <c r="C1028" s="103"/>
      <c r="D1028" s="115" t="s">
        <v>3350</v>
      </c>
    </row>
  </sheetData>
  <autoFilter ref="A1:K995" xr:uid="{422B9C84-FAB0-49C0-9B99-9AE108B19C8A}"/>
  <hyperlinks>
    <hyperlink ref="C997" location="_ftnref7" display="[1] Las comunidades autónomas, o en su caso, la Administración General del Estado podrán reglamentar las operaciones de anclaje de embarcaciones u otras similares." xr:uid="{C9D14DDB-419A-4AB8-868E-A533A999CA60}"/>
    <hyperlink ref="C1006" location="_ftnref8" display="(2)Todas las especies del género Cystoseira, salvo Cystoseira compressa" xr:uid="{ECEB83DF-1732-4F9D-96EA-500E12DEB33F}"/>
    <hyperlink ref="C1017" location="_ftnref9" display="(3) Aplysina sp. incluyen todas las especies del género" xr:uid="{4905919B-418D-4A70-86A6-F2110CBF2000}"/>
    <hyperlink ref="C1020" location="_ftnref10" display="(4) Tethya sp. incluyen todas las especies del género" xr:uid="{0323F543-8864-42E6-BDD1-5DC0C8589681}"/>
    <hyperlink ref="C1024" location="_ftnref11" display="(5) Se incluyen todas las especies de la Familia Sphyrnidae " xr:uid="{049062EA-B502-4966-A8B9-CE476E6C42C6}"/>
    <hyperlink ref="C603" location="_ftn1" display="(1) Posidonia oceanica" xr:uid="{AF950D06-388E-4774-8082-EAE3F2B8BE0A}"/>
    <hyperlink ref="C428" location="_ftn7" display="(2) Cystoseira sp." xr:uid="{BF11F17C-EAAF-4BCC-ADB7-21CC7BFD92DD}"/>
    <hyperlink ref="C720" location="_ftn9" display="(3) Aplysina sp." xr:uid="{9888F820-E47A-4857-81C3-DD77B138EE22}"/>
    <hyperlink ref="C795" location="_ftn10" display="(4) Tethya sp." xr:uid="{6F13AC2F-4DAD-4D49-ADC0-4435C6D969A4}"/>
    <hyperlink ref="C919" location="_ftn12" display="(5) Sphyrnidae" xr:uid="{EA989282-EF33-41F0-9315-D4961F9B1F43}"/>
    <hyperlink ref="C885" location="_ftn11" display="(6) Alopiidae " xr:uid="{0633236D-02C8-441D-BB45-7340D6DCB587}"/>
    <hyperlink ref="C1027" location="_ftnref12" display="(6) Se incluyen todas las especies de la Familia Alopiidae" xr:uid="{EE498520-EDE0-4727-99E6-C06A915AE4F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30TVK15</vt:lpstr>
      <vt:lpstr>🦅 Inventario Fauna</vt:lpstr>
      <vt:lpstr>🌿 Inventario Flora</vt:lpstr>
      <vt:lpstr>FAUNA</vt:lpstr>
      <vt:lpstr>FLORA</vt:lpstr>
      <vt:lpstr>Normativa Especies</vt:lpstr>
      <vt:lpstr>_ftn1</vt:lpstr>
      <vt:lpstr>_ftn10</vt:lpstr>
      <vt:lpstr>_ftn11</vt:lpstr>
      <vt:lpstr>_ftn12</vt:lpstr>
      <vt:lpstr>_ftn7</vt:lpstr>
      <vt:lpstr>_ftn9</vt:lpstr>
      <vt:lpstr>_ftnref10</vt:lpstr>
      <vt:lpstr>_ftnref11</vt:lpstr>
      <vt:lpstr>_ftnref12</vt:lpstr>
      <vt:lpstr>_ftnref7</vt:lpstr>
      <vt:lpstr>_ftnref8</vt:lpstr>
      <vt:lpstr>_ftnref9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Aparecida de Andrade Machado</dc:creator>
  <cp:lastModifiedBy>Fabiana Aparecida de Andrade Machado</cp:lastModifiedBy>
  <dcterms:created xsi:type="dcterms:W3CDTF">2026-07-27T10:37:31Z</dcterms:created>
  <dcterms:modified xsi:type="dcterms:W3CDTF">2026-08-03T10:01:19Z</dcterms:modified>
</cp:coreProperties>
</file>